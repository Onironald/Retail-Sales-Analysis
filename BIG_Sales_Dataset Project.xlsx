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HIDI\Desktop\Cirvee Tech School\My Excel Project\"/>
    </mc:Choice>
  </mc:AlternateContent>
  <xr:revisionPtr revIDLastSave="0" documentId="13_ncr:1_{3D91336D-6B5D-47AF-8023-9A98F45AF721}" xr6:coauthVersionLast="47" xr6:coauthVersionMax="47" xr10:uidLastSave="{00000000-0000-0000-0000-000000000000}"/>
  <bookViews>
    <workbookView xWindow="-110" yWindow="-110" windowWidth="19420" windowHeight="10300" activeTab="2" xr2:uid="{FD679FAF-6BB0-4233-B13E-314ABA50E3B7}"/>
  </bookViews>
  <sheets>
    <sheet name="Dataset" sheetId="1" r:id="rId1"/>
    <sheet name="Pivot Table Analysis" sheetId="5" r:id="rId2"/>
    <sheet name="Dashboard" sheetId="4" r:id="rId3"/>
    <sheet name="Let's Analyze!" sheetId="2" r:id="rId4"/>
  </sheets>
  <definedNames>
    <definedName name="_xlnm._FilterDatabase" localSheetId="0" hidden="1">Dataset!$A$1:$M$1001</definedName>
    <definedName name="Slicer_Branch">#N/A</definedName>
    <definedName name="Slicer_Customer_Type">#N/A</definedName>
    <definedName name="Slicer_Gender">#N/A</definedName>
    <definedName name="Slicer_Product_Nam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1" l="1"/>
  <c r="F12" i="5"/>
  <c r="C12" i="5"/>
  <c r="C30" i="5"/>
  <c r="C43"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R19" i="1"/>
  <c r="R18" i="1"/>
  <c r="R17" i="1"/>
  <c r="R16" i="1"/>
  <c r="R15" i="1"/>
  <c r="R1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B4" i="5"/>
  <c r="F8" i="5"/>
  <c r="B8" i="5"/>
  <c r="H4" i="5"/>
  <c r="E4" i="5"/>
</calcChain>
</file>

<file path=xl/sharedStrings.xml><?xml version="1.0" encoding="utf-8"?>
<sst xmlns="http://schemas.openxmlformats.org/spreadsheetml/2006/main" count="5112" uniqueCount="71">
  <si>
    <t>A</t>
  </si>
  <si>
    <t>New York</t>
  </si>
  <si>
    <t>Member</t>
  </si>
  <si>
    <t>Male</t>
  </si>
  <si>
    <t>Shampoo</t>
  </si>
  <si>
    <t>Personal Care</t>
  </si>
  <si>
    <t>B</t>
  </si>
  <si>
    <t>Los Angeles</t>
  </si>
  <si>
    <t>Normal</t>
  </si>
  <si>
    <t>Female</t>
  </si>
  <si>
    <t>Notebook</t>
  </si>
  <si>
    <t>Stationery</t>
  </si>
  <si>
    <t>Apple</t>
  </si>
  <si>
    <t>Fruits</t>
  </si>
  <si>
    <t>Chicago</t>
  </si>
  <si>
    <t>Detergent</t>
  </si>
  <si>
    <t>Household</t>
  </si>
  <si>
    <t>Orange Juice</t>
  </si>
  <si>
    <t>Beverages</t>
  </si>
  <si>
    <t>Branch</t>
  </si>
  <si>
    <t>City</t>
  </si>
  <si>
    <t>Gender</t>
  </si>
  <si>
    <t>Product_Name</t>
  </si>
  <si>
    <t>Customer_Type</t>
  </si>
  <si>
    <t>Sale_Id</t>
  </si>
  <si>
    <t>Product_Category</t>
  </si>
  <si>
    <t>Unit_Price</t>
  </si>
  <si>
    <t>Quantity</t>
  </si>
  <si>
    <t>Tax</t>
  </si>
  <si>
    <t>Total_Price</t>
  </si>
  <si>
    <t>Reward_Points</t>
  </si>
  <si>
    <t>C</t>
  </si>
  <si>
    <t>Lookup Product</t>
  </si>
  <si>
    <t>Lookup Category</t>
  </si>
  <si>
    <t>Row Labels</t>
  </si>
  <si>
    <t>Grand Total</t>
  </si>
  <si>
    <t>Sum of Total_Price</t>
  </si>
  <si>
    <t>Average of Total_Price</t>
  </si>
  <si>
    <t>Sum of Quantity</t>
  </si>
  <si>
    <t>Average of Quantity</t>
  </si>
  <si>
    <t>Sum of Sale_Id</t>
  </si>
  <si>
    <t>Column Labels</t>
  </si>
  <si>
    <t>Count of Sale_Id</t>
  </si>
  <si>
    <t>Interpretation</t>
  </si>
  <si>
    <t xml:space="preserve">Corrrelation </t>
  </si>
  <si>
    <t>Result</t>
  </si>
  <si>
    <t>High Quantity Drives Sales</t>
  </si>
  <si>
    <t>Total Price Leads To More Rewards</t>
  </si>
  <si>
    <t>Moderately strong positive relationship.</t>
  </si>
  <si>
    <t>Total Order</t>
  </si>
  <si>
    <t>Total Quantity Sold</t>
  </si>
  <si>
    <t>Average Sales</t>
  </si>
  <si>
    <t>Total Customer Segment</t>
  </si>
  <si>
    <t>Total Revenue</t>
  </si>
  <si>
    <t>Average Quantity Sold</t>
  </si>
  <si>
    <t>Gender Performance</t>
  </si>
  <si>
    <t>Gender Preference</t>
  </si>
  <si>
    <t>Branch Performance</t>
  </si>
  <si>
    <t>most popular Product Category</t>
  </si>
  <si>
    <t>Identifying Outliers</t>
  </si>
  <si>
    <t>Q1</t>
  </si>
  <si>
    <t>Q3</t>
  </si>
  <si>
    <t>Lower Bound</t>
  </si>
  <si>
    <t>Higher Bound</t>
  </si>
  <si>
    <t>IQR</t>
  </si>
  <si>
    <t>Is_Outliers</t>
  </si>
  <si>
    <t>Normal Transaction</t>
  </si>
  <si>
    <t>Outlier (Extreme Spend)</t>
  </si>
  <si>
    <t>Number Of Extreme Transaction</t>
  </si>
  <si>
    <t>Sum of Reward_Points</t>
  </si>
  <si>
    <t>Revenue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</si>
</sst>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quot;$&quot;#,##0,&quot;K&quot;;\-&quot;$&quot;#,##0,&quot;K&quot;;&quot;$&quot;0"/>
    <numFmt numFmtId="165" formatCode="0.0000000"/>
    <numFmt numFmtId="166" formatCode="&quot;$&quot;#,##0.0,&quot;K&quot;;\-&quot;$&quot;#,##0.0,&quot;K&quot;;&quot;$&quot;0.0"/>
    <numFmt numFmtId="167" formatCode="&quot;$&quot;#,##0.00"/>
    <numFmt numFmtId="168" formatCode="0.0"/>
    <numFmt numFmtId="169"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6">
    <xf numFmtId="0" fontId="0" fillId="0" borderId="0" xfId="0"/>
    <xf numFmtId="0" fontId="16" fillId="0" borderId="0" xfId="0" applyFont="1"/>
    <xf numFmtId="49" fontId="0" fillId="0" borderId="10" xfId="0" applyNumberFormat="1" applyBorder="1"/>
    <xf numFmtId="49" fontId="0" fillId="0" borderId="11" xfId="0" applyNumberFormat="1" applyBorder="1"/>
    <xf numFmtId="49" fontId="0" fillId="0" borderId="0" xfId="0" applyNumberFormat="1"/>
    <xf numFmtId="44" fontId="0" fillId="0" borderId="0" xfId="0" applyNumberFormat="1"/>
    <xf numFmtId="2" fontId="0" fillId="0" borderId="10" xfId="0" applyNumberFormat="1" applyBorder="1"/>
    <xf numFmtId="2" fontId="0" fillId="0" borderId="11" xfId="0" applyNumberFormat="1" applyBorder="1"/>
    <xf numFmtId="2" fontId="0" fillId="0" borderId="0" xfId="0" applyNumberFormat="1"/>
    <xf numFmtId="0" fontId="0" fillId="0" borderId="10" xfId="0" applyBorder="1"/>
    <xf numFmtId="0" fontId="0" fillId="0" borderId="11" xfId="0" applyBorder="1"/>
    <xf numFmtId="0" fontId="0" fillId="0" borderId="0" xfId="0" pivotButton="1"/>
    <xf numFmtId="0" fontId="0" fillId="34" borderId="0" xfId="0" applyFill="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0" fillId="34" borderId="0" xfId="0" applyFill="1" applyAlignment="1">
      <alignment horizontal="left"/>
    </xf>
    <xf numFmtId="165" fontId="0" fillId="0" borderId="10" xfId="0" applyNumberFormat="1" applyBorder="1"/>
    <xf numFmtId="0" fontId="19" fillId="34" borderId="0" xfId="0" applyFont="1" applyFill="1"/>
    <xf numFmtId="0" fontId="19" fillId="34" borderId="0" xfId="0" applyFont="1" applyFill="1" applyAlignment="1">
      <alignment horizontal="left"/>
    </xf>
    <xf numFmtId="0" fontId="0" fillId="35" borderId="0" xfId="0" applyFill="1"/>
    <xf numFmtId="166" fontId="0" fillId="0" borderId="0" xfId="0" applyNumberFormat="1"/>
    <xf numFmtId="167" fontId="0" fillId="0" borderId="0" xfId="0" applyNumberFormat="1"/>
    <xf numFmtId="168" fontId="0" fillId="0" borderId="0" xfId="0" applyNumberFormat="1"/>
    <xf numFmtId="167" fontId="0" fillId="0" borderId="10" xfId="0" applyNumberFormat="1" applyBorder="1"/>
    <xf numFmtId="167" fontId="0" fillId="0" borderId="11" xfId="0" applyNumberFormat="1" applyBorder="1"/>
    <xf numFmtId="0" fontId="0" fillId="0" borderId="12" xfId="0" applyBorder="1"/>
    <xf numFmtId="0" fontId="16" fillId="35" borderId="10" xfId="0" applyFont="1" applyFill="1" applyBorder="1"/>
    <xf numFmtId="0" fontId="16" fillId="35" borderId="12" xfId="0" applyFont="1" applyFill="1" applyBorder="1"/>
    <xf numFmtId="0" fontId="0" fillId="35" borderId="10" xfId="0" applyFill="1" applyBorder="1"/>
    <xf numFmtId="0" fontId="0" fillId="35" borderId="12" xfId="0" applyFill="1" applyBorder="1"/>
    <xf numFmtId="10" fontId="0" fillId="0" borderId="0" xfId="42" applyNumberFormat="1" applyFont="1"/>
    <xf numFmtId="169" fontId="0" fillId="0" borderId="0" xfId="0" applyNumberFormat="1"/>
    <xf numFmtId="9" fontId="0" fillId="0" borderId="0" xfId="42" applyFont="1"/>
    <xf numFmtId="0" fontId="19" fillId="35" borderId="0" xfId="0" applyFont="1" applyFill="1" applyAlignment="1">
      <alignment horizontal="left"/>
    </xf>
    <xf numFmtId="0" fontId="0" fillId="0" borderId="13" xfId="0" applyBorder="1"/>
    <xf numFmtId="167" fontId="0" fillId="0" borderId="14" xfId="0" applyNumberFormat="1" applyBorder="1"/>
    <xf numFmtId="0" fontId="0" fillId="0" borderId="18" xfId="0" applyBorder="1"/>
    <xf numFmtId="0" fontId="0" fillId="0" borderId="14" xfId="0" applyBorder="1"/>
    <xf numFmtId="0" fontId="18" fillId="33" borderId="15" xfId="0" applyFont="1" applyFill="1" applyBorder="1"/>
    <xf numFmtId="49" fontId="18" fillId="33" borderId="16" xfId="0" applyNumberFormat="1" applyFont="1" applyFill="1" applyBorder="1"/>
    <xf numFmtId="0" fontId="18" fillId="33" borderId="16" xfId="0" applyFont="1" applyFill="1" applyBorder="1"/>
    <xf numFmtId="44" fontId="18" fillId="33" borderId="16" xfId="0" applyNumberFormat="1" applyFont="1" applyFill="1" applyBorder="1"/>
    <xf numFmtId="2" fontId="18" fillId="33" borderId="16" xfId="0" applyNumberFormat="1" applyFont="1" applyFill="1" applyBorder="1"/>
    <xf numFmtId="167" fontId="18" fillId="33" borderId="16" xfId="0" applyNumberFormat="1" applyFont="1" applyFill="1" applyBorder="1"/>
    <xf numFmtId="0" fontId="18" fillId="33" borderId="17" xfId="0" applyFont="1" applyFill="1" applyBorder="1"/>
    <xf numFmtId="0" fontId="16" fillId="33" borderId="15" xfId="0" applyFont="1" applyFill="1" applyBorder="1"/>
    <xf numFmtId="0" fontId="16" fillId="33" borderId="17" xfId="0" applyFont="1" applyFill="1" applyBorder="1"/>
    <xf numFmtId="0" fontId="0" fillId="0" borderId="19" xfId="0" applyBorder="1"/>
    <xf numFmtId="0" fontId="0" fillId="35" borderId="14" xfId="0" applyFill="1" applyBorder="1"/>
    <xf numFmtId="0" fontId="0" fillId="33" borderId="15" xfId="0" applyFill="1" applyBorder="1"/>
    <xf numFmtId="0" fontId="0" fillId="33" borderId="16" xfId="0" applyFill="1" applyBorder="1"/>
    <xf numFmtId="0" fontId="0" fillId="33" borderId="17" xfId="0" applyFill="1" applyBorder="1"/>
    <xf numFmtId="165" fontId="0" fillId="0" borderId="20" xfId="0" applyNumberFormat="1" applyBorder="1"/>
    <xf numFmtId="168" fontId="0" fillId="0" borderId="14"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3">
    <dxf>
      <numFmt numFmtId="1" formatCode="0"/>
    </dxf>
    <dxf>
      <numFmt numFmtId="1" formatCode="0"/>
    </dxf>
    <dxf>
      <numFmt numFmtId="1" formatCode="0"/>
    </dxf>
    <dxf>
      <numFmt numFmtId="1" formatCode="0"/>
    </dxf>
    <dxf>
      <numFmt numFmtId="1" formatCode="0"/>
    </dxf>
    <dxf>
      <numFmt numFmtId="166" formatCode="&quot;$&quot;#,##0.0,&quot;K&quot;;\-&quot;$&quot;#,##0.0,&quot;K&quot;;&quot;$&quot;0.0"/>
    </dxf>
    <dxf>
      <numFmt numFmtId="164" formatCode="&quot;$&quot;#,##0,&quot;K&quot;;\-&quot;$&quot;#,##0,&quot;K&quot;;&quot;$&quot;0"/>
    </dxf>
    <dxf>
      <numFmt numFmtId="167" formatCode="&quot;$&quot;#,##0.00"/>
    </dxf>
    <dxf>
      <numFmt numFmtId="169" formatCode="0.0%"/>
    </dxf>
    <dxf>
      <numFmt numFmtId="169" formatCode="0.0%"/>
    </dxf>
    <dxf>
      <numFmt numFmtId="169" formatCode="0.0%"/>
    </dxf>
    <dxf>
      <numFmt numFmtId="169" formatCode="0.0%"/>
    </dxf>
    <dxf>
      <numFmt numFmtId="169" formatCode="0.0%"/>
    </dxf>
    <dxf>
      <numFmt numFmtId="1" formatCode="0"/>
    </dxf>
    <dxf>
      <numFmt numFmtId="164" formatCode="&quot;$&quot;#,##0,&quot;K&quot;;\-&quot;$&quot;#,##0,&quot;K&quot;;&quot;$&quot;0"/>
    </dxf>
    <dxf>
      <numFmt numFmtId="164" formatCode="&quot;$&quot;#,##0,&quot;K&quot;;\-&quot;$&quot;#,##0,&quot;K&quot;;&quot;$&quot;0"/>
    </dxf>
    <dxf>
      <numFmt numFmtId="167" formatCode="&quot;$&quot;#,##0.0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numFmt numFmtId="165" formatCode="0.0000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92D050"/>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2D050"/>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quot;$&quot;#,##0.00"/>
      <border diagonalUp="0" diagonalDown="0">
        <left style="thin">
          <color indexed="64"/>
        </left>
        <right style="thin">
          <color indexed="64"/>
        </right>
        <top style="thin">
          <color indexed="64"/>
        </top>
        <bottom style="thin">
          <color indexed="64"/>
        </bottom>
        <vertical/>
        <horizontal/>
      </border>
    </dxf>
    <dxf>
      <numFmt numFmtId="167" formatCode="&quot;$&quot;#,##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167" formatCode="&quot;$&quot;#,##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rder>
    </dxf>
    <dxf>
      <border outline="0">
        <bottom style="thin">
          <color indexed="64"/>
        </bottom>
      </border>
    </dxf>
    <dxf>
      <font>
        <sz val="12"/>
        <color theme="0"/>
      </font>
      <fill>
        <patternFill>
          <bgColor rgb="FF1E1B4A"/>
        </patternFill>
      </fill>
      <border diagonalUp="0" diagonalDown="1">
        <left/>
        <right/>
        <top/>
        <bottom/>
        <diagonal style="thin">
          <color auto="1"/>
        </diagonal>
        <vertical/>
        <horizontal/>
      </border>
    </dxf>
  </dxfs>
  <tableStyles count="1" defaultTableStyle="TableStyleMedium2" defaultPivotStyle="PivotStyleLight16">
    <tableStyle name="Slicer Style 2" pivot="0" table="0" count="2" xr9:uid="{EB4DCB23-2023-45E5-ADBB-B1ABF9215D2D}">
      <tableStyleElement type="headerRow" dxfId="52"/>
    </tableStyle>
  </tableStyles>
  <colors>
    <mruColors>
      <color rgb="FF0EA6E9"/>
      <color rgb="FF1E1B4A"/>
      <color rgb="FFFFFFFF"/>
      <color rgb="FFFBF8F3"/>
      <color rgb="FF000000"/>
    </mruColors>
  </colors>
  <extLst>
    <ext xmlns:x14="http://schemas.microsoft.com/office/spreadsheetml/2009/9/main" uri="{46F421CA-312F-682f-3DD2-61675219B42D}">
      <x14:dxfs count="1">
        <dxf>
          <font>
            <sz val="18"/>
          </font>
          <fill>
            <patternFill patternType="solid">
              <fgColor theme="4"/>
              <bgColor rgb="FF0EA6E9"/>
            </patternFill>
          </fill>
          <border diagonalUp="1" diagonalDown="0">
            <left/>
            <right/>
            <top/>
            <bottom/>
            <diagonal style="thin">
              <color auto="1"/>
            </diagonal>
            <vertical/>
            <horizontal/>
          </border>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[BIG_Sales Dataset Project1.xlsx]Pivot Table Analysis!PivotTable30</c:name>
    <c:fmtId val="6"/>
  </c:pivotSource>
  <c:chart>
    <c:title>
      <c:tx>
        <c:rich>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r>
              <a:rPr lang="en-US" sz="1600">
                <a:solidFill>
                  <a:srgbClr val="1E1B4A"/>
                </a:solidFill>
              </a:rPr>
              <a:t>Gender Preference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EA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Analysis'!$F$20:$F$21</c:f>
              <c:strCache>
                <c:ptCount val="1"/>
                <c:pt idx="0">
                  <c:v>Female</c:v>
                </c:pt>
              </c:strCache>
            </c:strRef>
          </c:tx>
          <c:spPr>
            <a:solidFill>
              <a:srgbClr val="0EA6E9"/>
            </a:solidFill>
            <a:ln>
              <a:noFill/>
            </a:ln>
            <a:effectLst/>
          </c:spPr>
          <c:invertIfNegative val="0"/>
          <c:cat>
            <c:strRef>
              <c:f>'Pivot Table Analysis'!$E$22:$E$27</c:f>
              <c:strCache>
                <c:ptCount val="5"/>
                <c:pt idx="0">
                  <c:v>Beverages</c:v>
                </c:pt>
                <c:pt idx="1">
                  <c:v>Fruits</c:v>
                </c:pt>
                <c:pt idx="2">
                  <c:v>Household</c:v>
                </c:pt>
                <c:pt idx="3">
                  <c:v>Personal Care</c:v>
                </c:pt>
                <c:pt idx="4">
                  <c:v>Stationery</c:v>
                </c:pt>
              </c:strCache>
            </c:strRef>
          </c:cat>
          <c:val>
            <c:numRef>
              <c:f>'Pivot Table Analysis'!$F$22:$F$27</c:f>
              <c:numCache>
                <c:formatCode>0</c:formatCode>
                <c:ptCount val="5"/>
                <c:pt idx="0">
                  <c:v>982</c:v>
                </c:pt>
                <c:pt idx="1">
                  <c:v>830</c:v>
                </c:pt>
                <c:pt idx="2">
                  <c:v>1036</c:v>
                </c:pt>
                <c:pt idx="3">
                  <c:v>1000</c:v>
                </c:pt>
                <c:pt idx="4">
                  <c:v>1095</c:v>
                </c:pt>
              </c:numCache>
            </c:numRef>
          </c:val>
          <c:extLst>
            <c:ext xmlns:c16="http://schemas.microsoft.com/office/drawing/2014/chart" uri="{C3380CC4-5D6E-409C-BE32-E72D297353CC}">
              <c16:uniqueId val="{00000000-9C6E-495C-AC09-0676574294DD}"/>
            </c:ext>
          </c:extLst>
        </c:ser>
        <c:ser>
          <c:idx val="1"/>
          <c:order val="1"/>
          <c:tx>
            <c:strRef>
              <c:f>'Pivot Table Analysis'!$G$20:$G$21</c:f>
              <c:strCache>
                <c:ptCount val="1"/>
                <c:pt idx="0">
                  <c:v>Male</c:v>
                </c:pt>
              </c:strCache>
            </c:strRef>
          </c:tx>
          <c:spPr>
            <a:solidFill>
              <a:schemeClr val="accent1">
                <a:lumMod val="40000"/>
                <a:lumOff val="60000"/>
              </a:schemeClr>
            </a:solidFill>
            <a:ln>
              <a:noFill/>
            </a:ln>
            <a:effectLst/>
          </c:spPr>
          <c:invertIfNegative val="0"/>
          <c:cat>
            <c:strRef>
              <c:f>'Pivot Table Analysis'!$E$22:$E$27</c:f>
              <c:strCache>
                <c:ptCount val="5"/>
                <c:pt idx="0">
                  <c:v>Beverages</c:v>
                </c:pt>
                <c:pt idx="1">
                  <c:v>Fruits</c:v>
                </c:pt>
                <c:pt idx="2">
                  <c:v>Household</c:v>
                </c:pt>
                <c:pt idx="3">
                  <c:v>Personal Care</c:v>
                </c:pt>
                <c:pt idx="4">
                  <c:v>Stationery</c:v>
                </c:pt>
              </c:strCache>
            </c:strRef>
          </c:cat>
          <c:val>
            <c:numRef>
              <c:f>'Pivot Table Analysis'!$G$22:$G$27</c:f>
              <c:numCache>
                <c:formatCode>0</c:formatCode>
                <c:ptCount val="5"/>
                <c:pt idx="0">
                  <c:v>1201</c:v>
                </c:pt>
                <c:pt idx="1">
                  <c:v>911</c:v>
                </c:pt>
                <c:pt idx="2">
                  <c:v>974</c:v>
                </c:pt>
                <c:pt idx="3">
                  <c:v>1238</c:v>
                </c:pt>
                <c:pt idx="4">
                  <c:v>1070</c:v>
                </c:pt>
              </c:numCache>
            </c:numRef>
          </c:val>
          <c:extLst>
            <c:ext xmlns:c16="http://schemas.microsoft.com/office/drawing/2014/chart" uri="{C3380CC4-5D6E-409C-BE32-E72D297353CC}">
              <c16:uniqueId val="{0000000A-2AF8-4256-8F5A-54CA305B2DC9}"/>
            </c:ext>
          </c:extLst>
        </c:ser>
        <c:dLbls>
          <c:showLegendKey val="0"/>
          <c:showVal val="0"/>
          <c:showCatName val="0"/>
          <c:showSerName val="0"/>
          <c:showPercent val="0"/>
          <c:showBubbleSize val="0"/>
        </c:dLbls>
        <c:gapWidth val="150"/>
        <c:overlap val="100"/>
        <c:axId val="1002209376"/>
        <c:axId val="1002210816"/>
      </c:barChart>
      <c:catAx>
        <c:axId val="10022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1E1B4A"/>
                </a:solidFill>
                <a:latin typeface="+mn-lt"/>
                <a:ea typeface="+mn-ea"/>
                <a:cs typeface="+mn-cs"/>
              </a:defRPr>
            </a:pPr>
            <a:endParaRPr lang="en-US"/>
          </a:p>
        </c:txPr>
        <c:crossAx val="1002210816"/>
        <c:crosses val="autoZero"/>
        <c:auto val="1"/>
        <c:lblAlgn val="ctr"/>
        <c:lblOffset val="100"/>
        <c:noMultiLvlLbl val="0"/>
      </c:catAx>
      <c:valAx>
        <c:axId val="10022108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1E1B4A"/>
                </a:solidFill>
                <a:latin typeface="+mn-lt"/>
                <a:ea typeface="+mn-ea"/>
                <a:cs typeface="+mn-cs"/>
              </a:defRPr>
            </a:pPr>
            <a:endParaRPr lang="en-US"/>
          </a:p>
        </c:txPr>
        <c:crossAx val="100220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1E1B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[BIG_Sales Dataset Project1.xlsx]Pivot Table Analysis!PivotTable26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a:r>
            <a:r>
              <a:rPr lang="en-US"/>
              <a:t>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A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Analysis'!$B$11</c:f>
              <c:strCache>
                <c:ptCount val="1"/>
                <c:pt idx="0">
                  <c:v>Total</c:v>
                </c:pt>
              </c:strCache>
            </c:strRef>
          </c:tx>
          <c:spPr>
            <a:solidFill>
              <a:srgbClr val="0EA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Analysis'!$A$12:$A$17</c:f>
              <c:strCache>
                <c:ptCount val="5"/>
                <c:pt idx="0">
                  <c:v>Shampoo</c:v>
                </c:pt>
                <c:pt idx="1">
                  <c:v>Notebook</c:v>
                </c:pt>
                <c:pt idx="2">
                  <c:v>Orange Juice</c:v>
                </c:pt>
                <c:pt idx="3">
                  <c:v>Detergent</c:v>
                </c:pt>
                <c:pt idx="4">
                  <c:v>Apple</c:v>
                </c:pt>
              </c:strCache>
            </c:strRef>
          </c:cat>
          <c:val>
            <c:numRef>
              <c:f>'Pivot Table Analysis'!$B$12:$B$17</c:f>
              <c:numCache>
                <c:formatCode>0.0%</c:formatCode>
                <c:ptCount val="5"/>
                <c:pt idx="0">
                  <c:v>0.22803567769317754</c:v>
                </c:pt>
                <c:pt idx="1">
                  <c:v>0.20907543098177747</c:v>
                </c:pt>
                <c:pt idx="2">
                  <c:v>0.20817716401636319</c:v>
                </c:pt>
                <c:pt idx="3">
                  <c:v>0.18930959430411703</c:v>
                </c:pt>
                <c:pt idx="4">
                  <c:v>0.16540213300456486</c:v>
                </c:pt>
              </c:numCache>
            </c:numRef>
          </c:val>
          <c:extLst>
            <c:ext xmlns:c16="http://schemas.microsoft.com/office/drawing/2014/chart" uri="{C3380CC4-5D6E-409C-BE32-E72D297353CC}">
              <c16:uniqueId val="{00000000-D8B1-4FFA-82BA-2B8F2E5BEE5D}"/>
            </c:ext>
          </c:extLst>
        </c:ser>
        <c:dLbls>
          <c:dLblPos val="outEnd"/>
          <c:showLegendKey val="0"/>
          <c:showVal val="1"/>
          <c:showCatName val="0"/>
          <c:showSerName val="0"/>
          <c:showPercent val="0"/>
          <c:showBubbleSize val="0"/>
        </c:dLbls>
        <c:gapWidth val="182"/>
        <c:axId val="398432648"/>
        <c:axId val="398429408"/>
      </c:barChart>
      <c:catAx>
        <c:axId val="398432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98429408"/>
        <c:crosses val="autoZero"/>
        <c:auto val="1"/>
        <c:lblAlgn val="ctr"/>
        <c:lblOffset val="100"/>
        <c:noMultiLvlLbl val="0"/>
      </c:catAx>
      <c:valAx>
        <c:axId val="3984294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9843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[BIG_Sales Dataset Project1.xlsx]Pivot Table Analysis!PivotTable31</c:name>
    <c:fmtId val="6"/>
  </c:pivotSource>
  <c:chart>
    <c:title>
      <c:tx>
        <c:rich>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r>
              <a:rPr lang="en-US" sz="1600">
                <a:solidFill>
                  <a:srgbClr val="1E1B4A"/>
                </a:solidFill>
              </a:rPr>
              <a:t>Branch Performance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A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32649904946"/>
          <c:y val="0.1736111111111111"/>
          <c:w val="0.74226674646350577"/>
          <c:h val="0.70178988043161272"/>
        </c:manualLayout>
      </c:layout>
      <c:barChart>
        <c:barDir val="col"/>
        <c:grouping val="clustered"/>
        <c:varyColors val="0"/>
        <c:ser>
          <c:idx val="0"/>
          <c:order val="0"/>
          <c:tx>
            <c:strRef>
              <c:f>'Pivot Table Analysis'!$B$29</c:f>
              <c:strCache>
                <c:ptCount val="1"/>
                <c:pt idx="0">
                  <c:v>Total</c:v>
                </c:pt>
              </c:strCache>
            </c:strRef>
          </c:tx>
          <c:spPr>
            <a:solidFill>
              <a:srgbClr val="0EA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Analysis'!$A$30:$A$33</c:f>
              <c:strCache>
                <c:ptCount val="3"/>
                <c:pt idx="0">
                  <c:v>A</c:v>
                </c:pt>
                <c:pt idx="1">
                  <c:v>B</c:v>
                </c:pt>
                <c:pt idx="2">
                  <c:v>C</c:v>
                </c:pt>
              </c:strCache>
            </c:strRef>
          </c:cat>
          <c:val>
            <c:numRef>
              <c:f>'Pivot Table Analysis'!$B$30:$B$33</c:f>
              <c:numCache>
                <c:formatCode>"$"#,##0,"K";\-"$"#,##0,"K";"$"0</c:formatCode>
                <c:ptCount val="3"/>
                <c:pt idx="0">
                  <c:v>42584.709999999992</c:v>
                </c:pt>
                <c:pt idx="1">
                  <c:v>35772.25999999998</c:v>
                </c:pt>
                <c:pt idx="2">
                  <c:v>40226.930000000015</c:v>
                </c:pt>
              </c:numCache>
            </c:numRef>
          </c:val>
          <c:extLst>
            <c:ext xmlns:c16="http://schemas.microsoft.com/office/drawing/2014/chart" uri="{C3380CC4-5D6E-409C-BE32-E72D297353CC}">
              <c16:uniqueId val="{00000000-1751-4D9E-BA15-240D9D816681}"/>
            </c:ext>
          </c:extLst>
        </c:ser>
        <c:dLbls>
          <c:showLegendKey val="0"/>
          <c:showVal val="0"/>
          <c:showCatName val="0"/>
          <c:showSerName val="0"/>
          <c:showPercent val="0"/>
          <c:showBubbleSize val="0"/>
        </c:dLbls>
        <c:gapWidth val="219"/>
        <c:overlap val="-27"/>
        <c:axId val="1044232536"/>
        <c:axId val="1044232896"/>
      </c:barChart>
      <c:catAx>
        <c:axId val="104423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1E1B4A"/>
                </a:solidFill>
                <a:latin typeface="+mn-lt"/>
                <a:ea typeface="+mn-ea"/>
                <a:cs typeface="+mn-cs"/>
              </a:defRPr>
            </a:pPr>
            <a:endParaRPr lang="en-US"/>
          </a:p>
        </c:txPr>
        <c:crossAx val="1044232896"/>
        <c:crosses val="autoZero"/>
        <c:auto val="1"/>
        <c:lblAlgn val="ctr"/>
        <c:lblOffset val="100"/>
        <c:noMultiLvlLbl val="0"/>
      </c:catAx>
      <c:valAx>
        <c:axId val="1044232896"/>
        <c:scaling>
          <c:orientation val="minMax"/>
        </c:scaling>
        <c:delete val="0"/>
        <c:axPos val="l"/>
        <c:numFmt formatCode="&quot;$&quot;#,##0,&quot;K&quot;;\-&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1E1B4A"/>
                </a:solidFill>
                <a:latin typeface="+mn-lt"/>
                <a:ea typeface="+mn-ea"/>
                <a:cs typeface="+mn-cs"/>
              </a:defRPr>
            </a:pPr>
            <a:endParaRPr lang="en-US"/>
          </a:p>
        </c:txPr>
        <c:crossAx val="1044232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[BIG_Sales Dataset Project1.xlsx]Pivot Table Analysis!PivotTable27</c:name>
    <c:fmtId val="19"/>
  </c:pivotSource>
  <c:chart>
    <c:title>
      <c:tx>
        <c:rich>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r>
              <a:rPr lang="en-US" sz="1600">
                <a:solidFill>
                  <a:srgbClr val="1E1B4A"/>
                </a:solidFill>
              </a:rPr>
              <a:t>Customer Segmentation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A6E9"/>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 Table Analysis'!$E$11</c:f>
              <c:strCache>
                <c:ptCount val="1"/>
                <c:pt idx="0">
                  <c:v>Total</c:v>
                </c:pt>
              </c:strCache>
            </c:strRef>
          </c:tx>
          <c:dPt>
            <c:idx val="0"/>
            <c:bubble3D val="0"/>
            <c:spPr>
              <a:solidFill>
                <a:srgbClr val="0EA6E9"/>
              </a:solidFill>
              <a:ln w="19050">
                <a:solidFill>
                  <a:schemeClr val="lt1"/>
                </a:solidFill>
              </a:ln>
              <a:effectLst/>
            </c:spPr>
            <c:extLst>
              <c:ext xmlns:c16="http://schemas.microsoft.com/office/drawing/2014/chart" uri="{C3380CC4-5D6E-409C-BE32-E72D297353CC}">
                <c16:uniqueId val="{00000001-A75E-49BC-84C3-C09A88D83BDE}"/>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A75E-49BC-84C3-C09A88D83BDE}"/>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Analysis'!$D$12:$D$14</c:f>
              <c:strCache>
                <c:ptCount val="2"/>
                <c:pt idx="0">
                  <c:v>Member</c:v>
                </c:pt>
                <c:pt idx="1">
                  <c:v>Normal</c:v>
                </c:pt>
              </c:strCache>
            </c:strRef>
          </c:cat>
          <c:val>
            <c:numRef>
              <c:f>'Pivot Table Analysis'!$E$12:$E$14</c:f>
              <c:numCache>
                <c:formatCode>"$"#,##0,"K";\-"$"#,##0,"K";"$"0</c:formatCode>
                <c:ptCount val="2"/>
                <c:pt idx="0">
                  <c:v>63213.63</c:v>
                </c:pt>
                <c:pt idx="1">
                  <c:v>55370.269999999946</c:v>
                </c:pt>
              </c:numCache>
            </c:numRef>
          </c:val>
          <c:extLst>
            <c:ext xmlns:c16="http://schemas.microsoft.com/office/drawing/2014/chart" uri="{C3380CC4-5D6E-409C-BE32-E72D297353CC}">
              <c16:uniqueId val="{00000004-A75E-49BC-84C3-C09A88D83B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1E1B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[BIG_Sales Dataset Project1.xlsx]Pivot Table Analysis!PivotTable1</c:name>
    <c:fmtId val="4"/>
  </c:pivotSource>
  <c:chart>
    <c:title>
      <c:tx>
        <c:rich>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r>
              <a:rPr lang="en-US" sz="1600">
                <a:solidFill>
                  <a:srgbClr val="1E1B4A"/>
                </a:solidFill>
              </a:rPr>
              <a:t>Outliers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E1B4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EA6E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EA6E9"/>
          </a:solidFill>
          <a:ln w="19050">
            <a:solidFill>
              <a:schemeClr val="lt1"/>
            </a:solidFill>
          </a:ln>
          <a:effectLst/>
        </c:spPr>
      </c:pivotFmt>
      <c:pivotFmt>
        <c:idx val="6"/>
        <c:spPr>
          <a:solidFill>
            <a:srgbClr val="0EA6E9"/>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EA6E9"/>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 Table Analysis'!$B$36</c:f>
              <c:strCache>
                <c:ptCount val="1"/>
                <c:pt idx="0">
                  <c:v>Sum of Total_Price</c:v>
                </c:pt>
              </c:strCache>
            </c:strRef>
          </c:tx>
          <c:spPr>
            <a:solidFill>
              <a:schemeClr val="accent1">
                <a:lumMod val="40000"/>
                <a:lumOff val="60000"/>
              </a:schemeClr>
            </a:solidFill>
          </c:spPr>
          <c:dPt>
            <c:idx val="0"/>
            <c:bubble3D val="0"/>
            <c:spPr>
              <a:solidFill>
                <a:srgbClr val="0EA6E9"/>
              </a:solidFill>
              <a:ln w="19050">
                <a:solidFill>
                  <a:schemeClr val="lt1"/>
                </a:solidFill>
              </a:ln>
              <a:effectLst/>
            </c:spPr>
            <c:extLst>
              <c:ext xmlns:c16="http://schemas.microsoft.com/office/drawing/2014/chart" uri="{C3380CC4-5D6E-409C-BE32-E72D297353CC}">
                <c16:uniqueId val="{00000001-DD19-4577-932B-D26F7E5ABAC3}"/>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DD19-4577-932B-D26F7E5ABAC3}"/>
              </c:ext>
            </c:extLst>
          </c:dPt>
          <c:cat>
            <c:strRef>
              <c:f>'Pivot Table Analysis'!$A$37:$A$39</c:f>
              <c:strCache>
                <c:ptCount val="2"/>
                <c:pt idx="0">
                  <c:v>Normal Transaction</c:v>
                </c:pt>
                <c:pt idx="1">
                  <c:v>Outlier (Extreme Spend)</c:v>
                </c:pt>
              </c:strCache>
            </c:strRef>
          </c:cat>
          <c:val>
            <c:numRef>
              <c:f>'Pivot Table Analysis'!$B$37:$B$39</c:f>
              <c:numCache>
                <c:formatCode>0.00%</c:formatCode>
                <c:ptCount val="2"/>
                <c:pt idx="0">
                  <c:v>0.9480945558376811</c:v>
                </c:pt>
                <c:pt idx="1">
                  <c:v>5.1905444162318813E-2</c:v>
                </c:pt>
              </c:numCache>
            </c:numRef>
          </c:val>
          <c:extLst>
            <c:ext xmlns:c16="http://schemas.microsoft.com/office/drawing/2014/chart" uri="{C3380CC4-5D6E-409C-BE32-E72D297353CC}">
              <c16:uniqueId val="{00000004-DD19-4577-932B-D26F7E5ABAC3}"/>
            </c:ext>
          </c:extLst>
        </c:ser>
        <c:ser>
          <c:idx val="1"/>
          <c:order val="1"/>
          <c:tx>
            <c:strRef>
              <c:f>'Pivot Table Analysis'!$C$36</c:f>
              <c:strCache>
                <c:ptCount val="1"/>
                <c:pt idx="0">
                  <c:v>Count of Sale_Id</c:v>
                </c:pt>
              </c:strCache>
            </c:strRef>
          </c:tx>
          <c:spPr>
            <a:solidFill>
              <a:srgbClr val="0EA6E9"/>
            </a:solidFill>
          </c:spPr>
          <c:dPt>
            <c:idx val="0"/>
            <c:bubble3D val="0"/>
            <c:spPr>
              <a:solidFill>
                <a:srgbClr val="0EA6E9"/>
              </a:solidFill>
              <a:ln w="19050">
                <a:solidFill>
                  <a:schemeClr val="lt1"/>
                </a:solidFill>
              </a:ln>
              <a:effectLst/>
            </c:spPr>
            <c:extLst>
              <c:ext xmlns:c16="http://schemas.microsoft.com/office/drawing/2014/chart" uri="{C3380CC4-5D6E-409C-BE32-E72D297353CC}">
                <c16:uniqueId val="{00000005-6330-4C9C-ACFF-10B69906A293}"/>
              </c:ext>
            </c:extLst>
          </c:dPt>
          <c:dPt>
            <c:idx val="1"/>
            <c:bubble3D val="0"/>
            <c:spPr>
              <a:solidFill>
                <a:srgbClr val="0EA6E9"/>
              </a:solidFill>
              <a:ln w="19050">
                <a:solidFill>
                  <a:schemeClr val="lt1"/>
                </a:solidFill>
              </a:ln>
              <a:effectLst/>
            </c:spPr>
            <c:extLst>
              <c:ext xmlns:c16="http://schemas.microsoft.com/office/drawing/2014/chart" uri="{C3380CC4-5D6E-409C-BE32-E72D297353CC}">
                <c16:uniqueId val="{00000007-6330-4C9C-ACFF-10B69906A293}"/>
              </c:ext>
            </c:extLst>
          </c:dPt>
          <c:cat>
            <c:strRef>
              <c:f>'Pivot Table Analysis'!$A$37:$A$39</c:f>
              <c:strCache>
                <c:ptCount val="2"/>
                <c:pt idx="0">
                  <c:v>Normal Transaction</c:v>
                </c:pt>
                <c:pt idx="1">
                  <c:v>Outlier (Extreme Spend)</c:v>
                </c:pt>
              </c:strCache>
            </c:strRef>
          </c:cat>
          <c:val>
            <c:numRef>
              <c:f>'Pivot Table Analysis'!$C$37:$C$39</c:f>
              <c:numCache>
                <c:formatCode>0.00%</c:formatCode>
                <c:ptCount val="2"/>
                <c:pt idx="0">
                  <c:v>0.98499999999999999</c:v>
                </c:pt>
                <c:pt idx="1">
                  <c:v>1.4999999999999999E-2</c:v>
                </c:pt>
              </c:numCache>
            </c:numRef>
          </c:val>
          <c:extLst>
            <c:ext xmlns:c16="http://schemas.microsoft.com/office/drawing/2014/chart" uri="{C3380CC4-5D6E-409C-BE32-E72D297353CC}">
              <c16:uniqueId val="{00000004-7128-4691-AA07-FE55EB0499A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493871989118962"/>
          <c:y val="0.32307380210289688"/>
          <c:w val="0.38745289455082205"/>
          <c:h val="0.48371717270190995"/>
        </c:manualLayout>
      </c:layout>
      <c:overlay val="0"/>
      <c:spPr>
        <a:noFill/>
        <a:ln>
          <a:noFill/>
        </a:ln>
        <a:effectLst/>
      </c:spPr>
      <c:txPr>
        <a:bodyPr rot="0" spcFirstLastPara="1" vertOverflow="ellipsis" vert="horz" wrap="square" anchor="ctr" anchorCtr="1"/>
        <a:lstStyle/>
        <a:p>
          <a:pPr>
            <a:defRPr sz="1300" b="0" i="0" u="none" strike="noStrike" kern="1200" baseline="0">
              <a:solidFill>
                <a:srgbClr val="1E1B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xml"/><Relationship Id="rId7" Type="http://schemas.openxmlformats.org/officeDocument/2006/relationships/image" Target="../media/image6.png"/><Relationship Id="rId12" Type="http://schemas.openxmlformats.org/officeDocument/2006/relationships/chart" Target="../charts/chart5.xml"/><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svg"/><Relationship Id="rId15" Type="http://schemas.openxmlformats.org/officeDocument/2006/relationships/image" Target="../media/image10.png"/><Relationship Id="rId10" Type="http://schemas.openxmlformats.org/officeDocument/2006/relationships/chart" Target="../charts/chart3.xml"/><Relationship Id="rId19" Type="http://schemas.openxmlformats.org/officeDocument/2006/relationships/image" Target="../media/image14.png"/><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3</xdr:col>
      <xdr:colOff>19050</xdr:colOff>
      <xdr:row>29</xdr:row>
      <xdr:rowOff>50800</xdr:rowOff>
    </xdr:from>
    <xdr:to>
      <xdr:col>4</xdr:col>
      <xdr:colOff>209550</xdr:colOff>
      <xdr:row>32</xdr:row>
      <xdr:rowOff>63500</xdr:rowOff>
    </xdr:to>
    <xdr:sp macro="" textlink="$B$4">
      <xdr:nvSpPr>
        <xdr:cNvPr id="8" name="TextBox 7">
          <a:extLst>
            <a:ext uri="{FF2B5EF4-FFF2-40B4-BE49-F238E27FC236}">
              <a16:creationId xmlns:a16="http://schemas.microsoft.com/office/drawing/2014/main" id="{A8FE4FA7-8FEA-03C2-20E9-889888616456}"/>
            </a:ext>
          </a:extLst>
        </xdr:cNvPr>
        <xdr:cNvSpPr txBox="1"/>
      </xdr:nvSpPr>
      <xdr:spPr>
        <a:xfrm>
          <a:off x="4095750" y="5391150"/>
          <a:ext cx="1422400" cy="56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Revenue</a:t>
          </a:r>
          <a:endParaRPr lang="en-US" sz="1100" b="1" i="0" u="none" strike="noStrike">
            <a:solidFill>
              <a:srgbClr val="000000"/>
            </a:solidFill>
            <a:latin typeface="Calibri"/>
            <a:ea typeface="Calibri"/>
            <a:cs typeface="Calibri"/>
          </a:endParaRPr>
        </a:p>
        <a:p>
          <a:pPr algn="ctr"/>
          <a:fld id="{160BD87C-FD62-43B7-BFA7-7CDEB6FD8641}" type="TxLink">
            <a:rPr lang="en-US" sz="1100" b="1" i="0" u="none" strike="noStrike">
              <a:solidFill>
                <a:srgbClr val="000000"/>
              </a:solidFill>
              <a:latin typeface="Calibri"/>
              <a:ea typeface="Calibri"/>
              <a:cs typeface="Calibri"/>
            </a:rPr>
            <a:pPr algn="ctr"/>
            <a:t>$118.6K</a:t>
          </a:fld>
          <a:endParaRPr lang="en-US" sz="1100" b="1" i="0" u="none" strike="noStrike">
            <a:solidFill>
              <a:srgbClr val="000000"/>
            </a:solidFill>
            <a:latin typeface="Calibri"/>
            <a:ea typeface="Calibri"/>
            <a:cs typeface="Calibri"/>
          </a:endParaRPr>
        </a:p>
      </xdr:txBody>
    </xdr:sp>
    <xdr:clientData/>
  </xdr:twoCellAnchor>
  <xdr:twoCellAnchor>
    <xdr:from>
      <xdr:col>3</xdr:col>
      <xdr:colOff>50800</xdr:colOff>
      <xdr:row>34</xdr:row>
      <xdr:rowOff>95250</xdr:rowOff>
    </xdr:from>
    <xdr:to>
      <xdr:col>4</xdr:col>
      <xdr:colOff>19050</xdr:colOff>
      <xdr:row>37</xdr:row>
      <xdr:rowOff>25400</xdr:rowOff>
    </xdr:to>
    <xdr:sp macro="" textlink="$E$4">
      <xdr:nvSpPr>
        <xdr:cNvPr id="9" name="TextBox 8">
          <a:extLst>
            <a:ext uri="{FF2B5EF4-FFF2-40B4-BE49-F238E27FC236}">
              <a16:creationId xmlns:a16="http://schemas.microsoft.com/office/drawing/2014/main" id="{4E1ACB4A-FC16-821C-972B-54AFA99B61B6}"/>
            </a:ext>
          </a:extLst>
        </xdr:cNvPr>
        <xdr:cNvSpPr txBox="1"/>
      </xdr:nvSpPr>
      <xdr:spPr>
        <a:xfrm>
          <a:off x="4127500" y="6356350"/>
          <a:ext cx="120015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Total Order</a:t>
          </a:r>
        </a:p>
        <a:p>
          <a:pPr algn="ctr"/>
          <a:fld id="{8A36660C-905B-40EB-A117-DD89C53F6E3B}" type="TxLink">
            <a:rPr lang="en-US" sz="1100" b="1" i="0" u="none" strike="noStrike">
              <a:solidFill>
                <a:srgbClr val="000000"/>
              </a:solidFill>
              <a:latin typeface="Calibri"/>
              <a:ea typeface="Calibri"/>
              <a:cs typeface="Calibri"/>
            </a:rPr>
            <a:pPr algn="ctr"/>
            <a:t>1000</a:t>
          </a:fld>
          <a:endParaRPr lang="en-US" sz="1100" b="1"/>
        </a:p>
      </xdr:txBody>
    </xdr:sp>
    <xdr:clientData/>
  </xdr:twoCellAnchor>
  <xdr:twoCellAnchor>
    <xdr:from>
      <xdr:col>4</xdr:col>
      <xdr:colOff>628650</xdr:colOff>
      <xdr:row>29</xdr:row>
      <xdr:rowOff>63500</xdr:rowOff>
    </xdr:from>
    <xdr:to>
      <xdr:col>5</xdr:col>
      <xdr:colOff>736600</xdr:colOff>
      <xdr:row>32</xdr:row>
      <xdr:rowOff>146050</xdr:rowOff>
    </xdr:to>
    <xdr:sp macro="" textlink="$H$4">
      <xdr:nvSpPr>
        <xdr:cNvPr id="10" name="TextBox 9">
          <a:extLst>
            <a:ext uri="{FF2B5EF4-FFF2-40B4-BE49-F238E27FC236}">
              <a16:creationId xmlns:a16="http://schemas.microsoft.com/office/drawing/2014/main" id="{A43E4B59-2719-D5BC-307D-CD9F6FCFCCF9}"/>
            </a:ext>
          </a:extLst>
        </xdr:cNvPr>
        <xdr:cNvSpPr txBox="1"/>
      </xdr:nvSpPr>
      <xdr:spPr>
        <a:xfrm>
          <a:off x="5359400" y="5403850"/>
          <a:ext cx="126365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Total Quantity Sold</a:t>
          </a:r>
        </a:p>
        <a:p>
          <a:pPr algn="ctr"/>
          <a:fld id="{B7CA1C3B-BA5E-4DC8-A29A-210F63DFA47D}" type="TxLink">
            <a:rPr lang="en-US" sz="1100" b="1" i="0" u="none" strike="noStrike">
              <a:solidFill>
                <a:srgbClr val="000000"/>
              </a:solidFill>
              <a:latin typeface="Calibri"/>
              <a:ea typeface="Calibri"/>
              <a:cs typeface="Calibri"/>
            </a:rPr>
            <a:pPr algn="ctr"/>
            <a:t>10337</a:t>
          </a:fld>
          <a:endParaRPr lang="en-US" sz="1100" b="1"/>
        </a:p>
      </xdr:txBody>
    </xdr:sp>
    <xdr:clientData/>
  </xdr:twoCellAnchor>
  <xdr:twoCellAnchor>
    <xdr:from>
      <xdr:col>4</xdr:col>
      <xdr:colOff>641350</xdr:colOff>
      <xdr:row>34</xdr:row>
      <xdr:rowOff>82550</xdr:rowOff>
    </xdr:from>
    <xdr:to>
      <xdr:col>5</xdr:col>
      <xdr:colOff>692150</xdr:colOff>
      <xdr:row>36</xdr:row>
      <xdr:rowOff>158750</xdr:rowOff>
    </xdr:to>
    <xdr:sp macro="" textlink="$B$8">
      <xdr:nvSpPr>
        <xdr:cNvPr id="11" name="TextBox 10">
          <a:extLst>
            <a:ext uri="{FF2B5EF4-FFF2-40B4-BE49-F238E27FC236}">
              <a16:creationId xmlns:a16="http://schemas.microsoft.com/office/drawing/2014/main" id="{7994F638-55CE-CF14-1298-8DDA1F85C31C}"/>
            </a:ext>
          </a:extLst>
        </xdr:cNvPr>
        <xdr:cNvSpPr txBox="1"/>
      </xdr:nvSpPr>
      <xdr:spPr>
        <a:xfrm>
          <a:off x="4552950" y="6343650"/>
          <a:ext cx="12065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Average Order</a:t>
          </a:r>
        </a:p>
        <a:p>
          <a:pPr algn="ctr"/>
          <a:fld id="{8CC09D5E-5CEF-4E9F-B5EF-90D99723668A}" type="TxLink">
            <a:rPr lang="en-US" sz="1100" b="1" i="0" u="none" strike="noStrike">
              <a:solidFill>
                <a:srgbClr val="000000"/>
              </a:solidFill>
              <a:latin typeface="Calibri"/>
              <a:ea typeface="Calibri"/>
              <a:cs typeface="Calibri"/>
            </a:rPr>
            <a:pPr algn="ctr"/>
            <a:t>$118.58</a:t>
          </a:fld>
          <a:endParaRPr lang="en-US" sz="1100" b="1" i="0" u="none" strike="noStrike">
            <a:solidFill>
              <a:srgbClr val="000000"/>
            </a:solidFill>
            <a:latin typeface="Calibri"/>
            <a:ea typeface="Calibri"/>
            <a:cs typeface="Calibri"/>
          </a:endParaRPr>
        </a:p>
      </xdr:txBody>
    </xdr:sp>
    <xdr:clientData/>
  </xdr:twoCellAnchor>
  <xdr:twoCellAnchor>
    <xdr:from>
      <xdr:col>6</xdr:col>
      <xdr:colOff>107950</xdr:colOff>
      <xdr:row>29</xdr:row>
      <xdr:rowOff>38100</xdr:rowOff>
    </xdr:from>
    <xdr:to>
      <xdr:col>7</xdr:col>
      <xdr:colOff>133350</xdr:colOff>
      <xdr:row>31</xdr:row>
      <xdr:rowOff>152400</xdr:rowOff>
    </xdr:to>
    <xdr:sp macro="" textlink="$C$12">
      <xdr:nvSpPr>
        <xdr:cNvPr id="12" name="TextBox 11">
          <a:extLst>
            <a:ext uri="{FF2B5EF4-FFF2-40B4-BE49-F238E27FC236}">
              <a16:creationId xmlns:a16="http://schemas.microsoft.com/office/drawing/2014/main" id="{B173030D-09A0-657F-D024-5A0A183BF2CC}"/>
            </a:ext>
          </a:extLst>
        </xdr:cNvPr>
        <xdr:cNvSpPr txBox="1"/>
      </xdr:nvSpPr>
      <xdr:spPr>
        <a:xfrm>
          <a:off x="6242050" y="5378450"/>
          <a:ext cx="135255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Top Category Share</a:t>
          </a:r>
        </a:p>
        <a:p>
          <a:pPr algn="ctr"/>
          <a:fld id="{EF84F76A-ACBD-42D4-990F-7AFDE5C72E95}" type="TxLink">
            <a:rPr lang="en-US" sz="1100" b="1" i="0" u="none" strike="noStrike">
              <a:solidFill>
                <a:srgbClr val="000000"/>
              </a:solidFill>
              <a:latin typeface="Calibri"/>
              <a:ea typeface="Calibri"/>
              <a:cs typeface="Calibri"/>
            </a:rPr>
            <a:pPr algn="ctr"/>
            <a:t>22.8%</a:t>
          </a:fld>
          <a:endParaRPr lang="en-US" sz="1100" b="1" i="0" u="none" strike="noStrike">
            <a:solidFill>
              <a:srgbClr val="000000"/>
            </a:solidFill>
            <a:latin typeface="Calibri"/>
            <a:ea typeface="Calibri"/>
            <a:cs typeface="Calibri"/>
          </a:endParaRPr>
        </a:p>
      </xdr:txBody>
    </xdr:sp>
    <xdr:clientData/>
  </xdr:twoCellAnchor>
  <xdr:twoCellAnchor>
    <xdr:from>
      <xdr:col>6</xdr:col>
      <xdr:colOff>6350</xdr:colOff>
      <xdr:row>34</xdr:row>
      <xdr:rowOff>177800</xdr:rowOff>
    </xdr:from>
    <xdr:to>
      <xdr:col>6</xdr:col>
      <xdr:colOff>1320800</xdr:colOff>
      <xdr:row>38</xdr:row>
      <xdr:rowOff>76200</xdr:rowOff>
    </xdr:to>
    <xdr:sp macro="" textlink="$C$30">
      <xdr:nvSpPr>
        <xdr:cNvPr id="14" name="TextBox 13">
          <a:extLst>
            <a:ext uri="{FF2B5EF4-FFF2-40B4-BE49-F238E27FC236}">
              <a16:creationId xmlns:a16="http://schemas.microsoft.com/office/drawing/2014/main" id="{33BD80CD-CB64-8882-7EF5-BC928D9ECE95}"/>
            </a:ext>
          </a:extLst>
        </xdr:cNvPr>
        <xdr:cNvSpPr txBox="1"/>
      </xdr:nvSpPr>
      <xdr:spPr>
        <a:xfrm>
          <a:off x="6140450" y="6438900"/>
          <a:ext cx="131445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Top</a:t>
          </a:r>
          <a:r>
            <a:rPr lang="en-US" sz="1100" b="1" i="0" u="none" strike="noStrike" baseline="0">
              <a:solidFill>
                <a:srgbClr val="000000"/>
              </a:solidFill>
              <a:latin typeface="Calibri"/>
              <a:ea typeface="Calibri"/>
              <a:cs typeface="Calibri"/>
            </a:rPr>
            <a:t> Branch Share</a:t>
          </a:r>
          <a:endParaRPr lang="en-US" sz="1100" b="1" i="0" u="none" strike="noStrike">
            <a:solidFill>
              <a:srgbClr val="000000"/>
            </a:solidFill>
            <a:latin typeface="Calibri"/>
            <a:ea typeface="Calibri"/>
            <a:cs typeface="Calibri"/>
          </a:endParaRPr>
        </a:p>
        <a:p>
          <a:pPr algn="ctr"/>
          <a:fld id="{810F9081-CA49-4320-A4FB-CB333D4F7524}" type="TxLink">
            <a:rPr lang="en-US" sz="1100" b="1" i="0" u="none" strike="noStrike">
              <a:solidFill>
                <a:srgbClr val="000000"/>
              </a:solidFill>
              <a:latin typeface="Calibri"/>
              <a:ea typeface="Calibri"/>
              <a:cs typeface="Calibri"/>
            </a:rPr>
            <a:pPr algn="ctr"/>
            <a:t>36%</a:t>
          </a:fld>
          <a:endParaRPr lang="en-US" sz="1100" b="1"/>
        </a:p>
      </xdr:txBody>
    </xdr:sp>
    <xdr:clientData/>
  </xdr:twoCellAnchor>
  <xdr:twoCellAnchor>
    <xdr:from>
      <xdr:col>4</xdr:col>
      <xdr:colOff>660400</xdr:colOff>
      <xdr:row>38</xdr:row>
      <xdr:rowOff>76200</xdr:rowOff>
    </xdr:from>
    <xdr:to>
      <xdr:col>5</xdr:col>
      <xdr:colOff>889000</xdr:colOff>
      <xdr:row>41</xdr:row>
      <xdr:rowOff>69850</xdr:rowOff>
    </xdr:to>
    <xdr:sp macro="" textlink="$F$12">
      <xdr:nvSpPr>
        <xdr:cNvPr id="15" name="TextBox 14">
          <a:extLst>
            <a:ext uri="{FF2B5EF4-FFF2-40B4-BE49-F238E27FC236}">
              <a16:creationId xmlns:a16="http://schemas.microsoft.com/office/drawing/2014/main" id="{20B3C676-4E5D-35BE-4151-B099C5BE7A15}"/>
            </a:ext>
          </a:extLst>
        </xdr:cNvPr>
        <xdr:cNvSpPr txBox="1"/>
      </xdr:nvSpPr>
      <xdr:spPr>
        <a:xfrm>
          <a:off x="4572000" y="7073900"/>
          <a:ext cx="1384300" cy="54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Calibri"/>
              <a:ea typeface="Calibri"/>
              <a:cs typeface="Calibri"/>
            </a:rPr>
            <a:t>Member Revenue</a:t>
          </a:r>
        </a:p>
        <a:p>
          <a:pPr algn="ctr"/>
          <a:fld id="{FF1ED260-9405-4155-8C1F-2EA5F5FD507E}" type="TxLink">
            <a:rPr lang="en-US" sz="1100" b="1" i="0" u="none" strike="noStrike">
              <a:solidFill>
                <a:srgbClr val="000000"/>
              </a:solidFill>
              <a:latin typeface="Calibri"/>
              <a:ea typeface="Calibri"/>
              <a:cs typeface="Calibri"/>
            </a:rPr>
            <a:pPr algn="ctr"/>
            <a:t>53.31%</a:t>
          </a:fld>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141112</xdr:colOff>
      <xdr:row>0</xdr:row>
      <xdr:rowOff>0</xdr:rowOff>
    </xdr:from>
    <xdr:to>
      <xdr:col>22</xdr:col>
      <xdr:colOff>544286</xdr:colOff>
      <xdr:row>68</xdr:row>
      <xdr:rowOff>121594</xdr:rowOff>
    </xdr:to>
    <xdr:sp macro="" textlink="">
      <xdr:nvSpPr>
        <xdr:cNvPr id="2" name="Rectangle: Rounded Corners 1">
          <a:extLst>
            <a:ext uri="{FF2B5EF4-FFF2-40B4-BE49-F238E27FC236}">
              <a16:creationId xmlns:a16="http://schemas.microsoft.com/office/drawing/2014/main" id="{5564FCFD-68E7-3EA9-E623-470A156E9FBF}"/>
            </a:ext>
          </a:extLst>
        </xdr:cNvPr>
        <xdr:cNvSpPr/>
      </xdr:nvSpPr>
      <xdr:spPr>
        <a:xfrm>
          <a:off x="141112" y="0"/>
          <a:ext cx="13778706" cy="12983722"/>
        </a:xfrm>
        <a:prstGeom prst="roundRect">
          <a:avLst>
            <a:gd name="adj" fmla="val 80"/>
          </a:avLst>
        </a:prstGeom>
        <a:solidFill>
          <a:srgbClr val="FBF8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23</xdr:col>
      <xdr:colOff>81063</xdr:colOff>
      <xdr:row>71</xdr:row>
      <xdr:rowOff>81064</xdr:rowOff>
    </xdr:to>
    <xdr:sp macro="" textlink="">
      <xdr:nvSpPr>
        <xdr:cNvPr id="3" name="Rectangle: Rounded Corners 2">
          <a:extLst>
            <a:ext uri="{FF2B5EF4-FFF2-40B4-BE49-F238E27FC236}">
              <a16:creationId xmlns:a16="http://schemas.microsoft.com/office/drawing/2014/main" id="{8F88A922-566F-2CEE-6CB0-129D53A3B56B}"/>
            </a:ext>
          </a:extLst>
        </xdr:cNvPr>
        <xdr:cNvSpPr/>
      </xdr:nvSpPr>
      <xdr:spPr>
        <a:xfrm>
          <a:off x="0" y="0"/>
          <a:ext cx="14064574" cy="13510638"/>
        </a:xfrm>
        <a:prstGeom prst="roundRect">
          <a:avLst>
            <a:gd name="adj" fmla="val 0"/>
          </a:avLst>
        </a:prstGeom>
        <a:solidFill>
          <a:srgbClr val="FBF8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116445</xdr:colOff>
      <xdr:row>1</xdr:row>
      <xdr:rowOff>25399</xdr:rowOff>
    </xdr:from>
    <xdr:to>
      <xdr:col>14</xdr:col>
      <xdr:colOff>300596</xdr:colOff>
      <xdr:row>4</xdr:row>
      <xdr:rowOff>95249</xdr:rowOff>
    </xdr:to>
    <xdr:sp macro="" textlink="">
      <xdr:nvSpPr>
        <xdr:cNvPr id="4" name="Rectangle: Rounded Corners 3">
          <a:extLst>
            <a:ext uri="{FF2B5EF4-FFF2-40B4-BE49-F238E27FC236}">
              <a16:creationId xmlns:a16="http://schemas.microsoft.com/office/drawing/2014/main" id="{BBB46470-6165-8C48-8B41-475D754EFF0E}"/>
            </a:ext>
          </a:extLst>
        </xdr:cNvPr>
        <xdr:cNvSpPr/>
      </xdr:nvSpPr>
      <xdr:spPr>
        <a:xfrm>
          <a:off x="2557484" y="206828"/>
          <a:ext cx="6286748" cy="614135"/>
        </a:xfrm>
        <a:prstGeom prst="roundRect">
          <a:avLst/>
        </a:prstGeom>
        <a:solidFill>
          <a:srgbClr val="FBF8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                 </a:t>
          </a:r>
          <a:r>
            <a:rPr lang="en-US" sz="1800" b="1">
              <a:solidFill>
                <a:srgbClr val="1E1B4A"/>
              </a:solidFill>
            </a:rPr>
            <a:t>Retail Sales Analytics Dashboard</a:t>
          </a:r>
        </a:p>
        <a:p>
          <a:pPr algn="l"/>
          <a:r>
            <a:rPr lang="en-US" sz="1000" b="1">
              <a:solidFill>
                <a:srgbClr val="1E1B4A"/>
              </a:solidFill>
            </a:rPr>
            <a:t>                          </a:t>
          </a:r>
          <a:r>
            <a:rPr lang="en-US" sz="1050" b="1">
              <a:solidFill>
                <a:srgbClr val="1E1B4A"/>
              </a:solidFill>
            </a:rPr>
            <a:t>  </a:t>
          </a:r>
          <a:r>
            <a:rPr lang="en-US" sz="1050" b="1" baseline="0">
              <a:solidFill>
                <a:srgbClr val="1E1B4A"/>
              </a:solidFill>
            </a:rPr>
            <a:t>Interactive analysis of sales performance, customer behavior, and operational insights.</a:t>
          </a:r>
          <a:endParaRPr lang="en-US" sz="1050" b="1">
            <a:solidFill>
              <a:srgbClr val="1E1B4A"/>
            </a:solidFill>
          </a:endParaRPr>
        </a:p>
      </xdr:txBody>
    </xdr:sp>
    <xdr:clientData/>
  </xdr:twoCellAnchor>
  <xdr:twoCellAnchor>
    <xdr:from>
      <xdr:col>4</xdr:col>
      <xdr:colOff>164933</xdr:colOff>
      <xdr:row>1</xdr:row>
      <xdr:rowOff>84447</xdr:rowOff>
    </xdr:from>
    <xdr:to>
      <xdr:col>5</xdr:col>
      <xdr:colOff>183983</xdr:colOff>
      <xdr:row>4</xdr:row>
      <xdr:rowOff>52697</xdr:rowOff>
    </xdr:to>
    <xdr:grpSp>
      <xdr:nvGrpSpPr>
        <xdr:cNvPr id="65" name="Group 64">
          <a:extLst>
            <a:ext uri="{FF2B5EF4-FFF2-40B4-BE49-F238E27FC236}">
              <a16:creationId xmlns:a16="http://schemas.microsoft.com/office/drawing/2014/main" id="{6E5F93D7-8032-8D58-C02A-9E250355C79E}"/>
            </a:ext>
          </a:extLst>
        </xdr:cNvPr>
        <xdr:cNvGrpSpPr/>
      </xdr:nvGrpSpPr>
      <xdr:grpSpPr>
        <a:xfrm>
          <a:off x="2596848" y="273596"/>
          <a:ext cx="627029" cy="535697"/>
          <a:chOff x="2680195" y="265876"/>
          <a:chExt cx="629310" cy="512535"/>
        </a:xfrm>
      </xdr:grpSpPr>
      <xdr:sp macro="" textlink="">
        <xdr:nvSpPr>
          <xdr:cNvPr id="13" name="Oval 12">
            <a:extLst>
              <a:ext uri="{FF2B5EF4-FFF2-40B4-BE49-F238E27FC236}">
                <a16:creationId xmlns:a16="http://schemas.microsoft.com/office/drawing/2014/main" id="{F013C1EC-32D1-F1A5-8AAA-0FC86E6035FE}"/>
              </a:ext>
            </a:extLst>
          </xdr:cNvPr>
          <xdr:cNvSpPr/>
        </xdr:nvSpPr>
        <xdr:spPr>
          <a:xfrm>
            <a:off x="2680195" y="265876"/>
            <a:ext cx="629310" cy="512535"/>
          </a:xfrm>
          <a:prstGeom prst="ellipse">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Graphic 7" descr="Shopping cart with solid fill">
            <a:extLst>
              <a:ext uri="{FF2B5EF4-FFF2-40B4-BE49-F238E27FC236}">
                <a16:creationId xmlns:a16="http://schemas.microsoft.com/office/drawing/2014/main" id="{FEB2AB9A-5D69-EECE-9C36-2F73A6A19D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6101" y="363023"/>
            <a:ext cx="311150" cy="305707"/>
          </a:xfrm>
          <a:prstGeom prst="rect">
            <a:avLst/>
          </a:prstGeom>
        </xdr:spPr>
      </xdr:pic>
    </xdr:grpSp>
    <xdr:clientData/>
  </xdr:twoCellAnchor>
  <xdr:twoCellAnchor>
    <xdr:from>
      <xdr:col>0</xdr:col>
      <xdr:colOff>58859</xdr:colOff>
      <xdr:row>0</xdr:row>
      <xdr:rowOff>0</xdr:rowOff>
    </xdr:from>
    <xdr:to>
      <xdr:col>3</xdr:col>
      <xdr:colOff>422888</xdr:colOff>
      <xdr:row>66</xdr:row>
      <xdr:rowOff>108084</xdr:rowOff>
    </xdr:to>
    <xdr:sp macro="" textlink="">
      <xdr:nvSpPr>
        <xdr:cNvPr id="19" name="Rectangle: Single Corner Rounded 18">
          <a:extLst>
            <a:ext uri="{FF2B5EF4-FFF2-40B4-BE49-F238E27FC236}">
              <a16:creationId xmlns:a16="http://schemas.microsoft.com/office/drawing/2014/main" id="{46142270-244F-FC43-37CA-D0553CC8AC98}"/>
            </a:ext>
          </a:extLst>
        </xdr:cNvPr>
        <xdr:cNvSpPr/>
      </xdr:nvSpPr>
      <xdr:spPr>
        <a:xfrm flipH="1">
          <a:off x="58859" y="0"/>
          <a:ext cx="2187965" cy="12591914"/>
        </a:xfrm>
        <a:prstGeom prst="round1Rect">
          <a:avLst>
            <a:gd name="adj" fmla="val 14902"/>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122071</xdr:colOff>
      <xdr:row>13</xdr:row>
      <xdr:rowOff>50397</xdr:rowOff>
    </xdr:from>
    <xdr:to>
      <xdr:col>13</xdr:col>
      <xdr:colOff>221746</xdr:colOff>
      <xdr:row>32</xdr:row>
      <xdr:rowOff>59283</xdr:rowOff>
    </xdr:to>
    <xdr:sp macro="" textlink="">
      <xdr:nvSpPr>
        <xdr:cNvPr id="20" name="Rectangle: Rounded Corners 19">
          <a:extLst>
            <a:ext uri="{FF2B5EF4-FFF2-40B4-BE49-F238E27FC236}">
              <a16:creationId xmlns:a16="http://schemas.microsoft.com/office/drawing/2014/main" id="{D64084BA-A8DE-341C-6B62-6552A9AF0508}"/>
            </a:ext>
          </a:extLst>
        </xdr:cNvPr>
        <xdr:cNvSpPr/>
      </xdr:nvSpPr>
      <xdr:spPr>
        <a:xfrm>
          <a:off x="2541119" y="2408968"/>
          <a:ext cx="5542532" cy="3456029"/>
        </a:xfrm>
        <a:prstGeom prst="roundRect">
          <a:avLst>
            <a:gd name="adj" fmla="val 9120"/>
          </a:avLst>
        </a:prstGeom>
        <a:solidFill>
          <a:schemeClr val="bg1"/>
        </a:solidFill>
        <a:ln>
          <a:solidFill>
            <a:srgbClr val="1E1B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302387</xdr:colOff>
      <xdr:row>13</xdr:row>
      <xdr:rowOff>30242</xdr:rowOff>
    </xdr:from>
    <xdr:to>
      <xdr:col>22</xdr:col>
      <xdr:colOff>400794</xdr:colOff>
      <xdr:row>32</xdr:row>
      <xdr:rowOff>39531</xdr:rowOff>
    </xdr:to>
    <xdr:sp macro="" textlink="">
      <xdr:nvSpPr>
        <xdr:cNvPr id="24" name="Rectangle: Rounded Corners 23">
          <a:extLst>
            <a:ext uri="{FF2B5EF4-FFF2-40B4-BE49-F238E27FC236}">
              <a16:creationId xmlns:a16="http://schemas.microsoft.com/office/drawing/2014/main" id="{44F87DF7-81F5-B380-BAA6-EB877D74475E}"/>
            </a:ext>
          </a:extLst>
        </xdr:cNvPr>
        <xdr:cNvSpPr/>
      </xdr:nvSpPr>
      <xdr:spPr>
        <a:xfrm>
          <a:off x="8164292" y="2388813"/>
          <a:ext cx="5541264" cy="3456432"/>
        </a:xfrm>
        <a:prstGeom prst="roundRect">
          <a:avLst>
            <a:gd name="adj" fmla="val 9120"/>
          </a:avLst>
        </a:prstGeom>
        <a:solidFill>
          <a:schemeClr val="bg1"/>
        </a:solidFill>
        <a:ln>
          <a:solidFill>
            <a:srgbClr val="1E1B4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292023</xdr:colOff>
      <xdr:row>32</xdr:row>
      <xdr:rowOff>117455</xdr:rowOff>
    </xdr:from>
    <xdr:to>
      <xdr:col>22</xdr:col>
      <xdr:colOff>390430</xdr:colOff>
      <xdr:row>51</xdr:row>
      <xdr:rowOff>126744</xdr:rowOff>
    </xdr:to>
    <xdr:sp macro="" textlink="">
      <xdr:nvSpPr>
        <xdr:cNvPr id="22" name="Rectangle: Rounded Corners 21">
          <a:extLst>
            <a:ext uri="{FF2B5EF4-FFF2-40B4-BE49-F238E27FC236}">
              <a16:creationId xmlns:a16="http://schemas.microsoft.com/office/drawing/2014/main" id="{84145046-84B1-7CCA-1F58-1DC77F98033F}"/>
            </a:ext>
          </a:extLst>
        </xdr:cNvPr>
        <xdr:cNvSpPr/>
      </xdr:nvSpPr>
      <xdr:spPr>
        <a:xfrm>
          <a:off x="8153928" y="5923169"/>
          <a:ext cx="5541264" cy="3456432"/>
        </a:xfrm>
        <a:prstGeom prst="roundRect">
          <a:avLst>
            <a:gd name="adj" fmla="val 9120"/>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124552</xdr:colOff>
      <xdr:row>32</xdr:row>
      <xdr:rowOff>129431</xdr:rowOff>
    </xdr:from>
    <xdr:to>
      <xdr:col>13</xdr:col>
      <xdr:colOff>222959</xdr:colOff>
      <xdr:row>51</xdr:row>
      <xdr:rowOff>138720</xdr:rowOff>
    </xdr:to>
    <xdr:sp macro="" textlink="">
      <xdr:nvSpPr>
        <xdr:cNvPr id="23" name="Rectangle: Rounded Corners 22">
          <a:extLst>
            <a:ext uri="{FF2B5EF4-FFF2-40B4-BE49-F238E27FC236}">
              <a16:creationId xmlns:a16="http://schemas.microsoft.com/office/drawing/2014/main" id="{1048C7B0-5CFF-C1FE-8360-57D8D2984608}"/>
            </a:ext>
          </a:extLst>
        </xdr:cNvPr>
        <xdr:cNvSpPr/>
      </xdr:nvSpPr>
      <xdr:spPr>
        <a:xfrm>
          <a:off x="2543600" y="5935145"/>
          <a:ext cx="5541264" cy="3456432"/>
        </a:xfrm>
        <a:prstGeom prst="roundRect">
          <a:avLst>
            <a:gd name="adj" fmla="val 9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403173</xdr:colOff>
      <xdr:row>33</xdr:row>
      <xdr:rowOff>90712</xdr:rowOff>
    </xdr:from>
    <xdr:to>
      <xdr:col>12</xdr:col>
      <xdr:colOff>584603</xdr:colOff>
      <xdr:row>50</xdr:row>
      <xdr:rowOff>171347</xdr:rowOff>
    </xdr:to>
    <xdr:graphicFrame macro="">
      <xdr:nvGraphicFramePr>
        <xdr:cNvPr id="36" name="Chart 35">
          <a:extLst>
            <a:ext uri="{FF2B5EF4-FFF2-40B4-BE49-F238E27FC236}">
              <a16:creationId xmlns:a16="http://schemas.microsoft.com/office/drawing/2014/main" id="{09757F03-A074-47B3-AC2B-D4AB964DF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131950</xdr:colOff>
      <xdr:row>4</xdr:row>
      <xdr:rowOff>107211</xdr:rowOff>
    </xdr:from>
    <xdr:to>
      <xdr:col>7</xdr:col>
      <xdr:colOff>389230</xdr:colOff>
      <xdr:row>8</xdr:row>
      <xdr:rowOff>102479</xdr:rowOff>
    </xdr:to>
    <xdr:grpSp>
      <xdr:nvGrpSpPr>
        <xdr:cNvPr id="60" name="Group 59">
          <a:extLst>
            <a:ext uri="{FF2B5EF4-FFF2-40B4-BE49-F238E27FC236}">
              <a16:creationId xmlns:a16="http://schemas.microsoft.com/office/drawing/2014/main" id="{0DFA6C92-F6DE-DD23-3204-61466060E39B}"/>
            </a:ext>
          </a:extLst>
        </xdr:cNvPr>
        <xdr:cNvGrpSpPr/>
      </xdr:nvGrpSpPr>
      <xdr:grpSpPr>
        <a:xfrm>
          <a:off x="2563865" y="863807"/>
          <a:ext cx="2081216" cy="751863"/>
          <a:chOff x="1575130" y="923636"/>
          <a:chExt cx="2088059" cy="720983"/>
        </a:xfrm>
      </xdr:grpSpPr>
      <xdr:grpSp>
        <xdr:nvGrpSpPr>
          <xdr:cNvPr id="10" name="Group 9">
            <a:extLst>
              <a:ext uri="{FF2B5EF4-FFF2-40B4-BE49-F238E27FC236}">
                <a16:creationId xmlns:a16="http://schemas.microsoft.com/office/drawing/2014/main" id="{0FD78118-644B-5E16-B323-BBBD6566A647}"/>
              </a:ext>
            </a:extLst>
          </xdr:cNvPr>
          <xdr:cNvGrpSpPr/>
        </xdr:nvGrpSpPr>
        <xdr:grpSpPr>
          <a:xfrm>
            <a:off x="1575130" y="923636"/>
            <a:ext cx="2088059" cy="720983"/>
            <a:chOff x="1575130" y="931883"/>
            <a:chExt cx="2088059" cy="720983"/>
          </a:xfrm>
        </xdr:grpSpPr>
        <xdr:sp macro="" textlink="">
          <xdr:nvSpPr>
            <xdr:cNvPr id="14" name="Rectangle: Rounded Corners 13">
              <a:extLst>
                <a:ext uri="{FF2B5EF4-FFF2-40B4-BE49-F238E27FC236}">
                  <a16:creationId xmlns:a16="http://schemas.microsoft.com/office/drawing/2014/main" id="{A4035145-B37B-C8AE-959B-BDD0F2BF41E7}"/>
                </a:ext>
              </a:extLst>
            </xdr:cNvPr>
            <xdr:cNvSpPr/>
          </xdr:nvSpPr>
          <xdr:spPr>
            <a:xfrm>
              <a:off x="1575130" y="931883"/>
              <a:ext cx="2088059" cy="720983"/>
            </a:xfrm>
            <a:prstGeom prst="roundRect">
              <a:avLst/>
            </a:prstGeom>
            <a:solidFill>
              <a:srgbClr val="1E1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B$4">
          <xdr:nvSpPr>
            <xdr:cNvPr id="6" name="TextBox 5">
              <a:extLst>
                <a:ext uri="{FF2B5EF4-FFF2-40B4-BE49-F238E27FC236}">
                  <a16:creationId xmlns:a16="http://schemas.microsoft.com/office/drawing/2014/main" id="{80F5DAE2-8FBE-42A8-9625-B46D41FD1C79}"/>
                </a:ext>
              </a:extLst>
            </xdr:cNvPr>
            <xdr:cNvSpPr txBox="1"/>
          </xdr:nvSpPr>
          <xdr:spPr>
            <a:xfrm>
              <a:off x="1624610" y="945985"/>
              <a:ext cx="1987468" cy="662132"/>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       Total</a:t>
              </a:r>
              <a:r>
                <a:rPr lang="en-US" sz="1400" b="1" i="0" u="none" strike="noStrike" baseline="0">
                  <a:solidFill>
                    <a:schemeClr val="bg1"/>
                  </a:solidFill>
                  <a:latin typeface="Calibri"/>
                  <a:ea typeface="Calibri"/>
                  <a:cs typeface="Calibri"/>
                </a:rPr>
                <a:t> Revenue</a:t>
              </a:r>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  </a:t>
              </a:r>
              <a:fld id="{160BD87C-FD62-43B7-BFA7-7CDEB6FD8641}" type="TxLink">
                <a:rPr lang="en-US" sz="1400" b="1" i="0" u="none" strike="noStrike">
                  <a:solidFill>
                    <a:schemeClr val="bg1"/>
                  </a:solidFill>
                  <a:latin typeface="Calibri"/>
                  <a:ea typeface="Calibri"/>
                  <a:cs typeface="Calibri"/>
                </a:rPr>
                <a:pPr algn="ctr"/>
                <a:t>$118.6K</a:t>
              </a:fld>
              <a:endParaRPr lang="en-US" sz="1400" b="1" i="0" u="none" strike="noStrike">
                <a:solidFill>
                  <a:schemeClr val="bg1"/>
                </a:solidFill>
                <a:latin typeface="Calibri"/>
                <a:ea typeface="Calibri"/>
                <a:cs typeface="Calibri"/>
              </a:endParaRPr>
            </a:p>
          </xdr:txBody>
        </xdr:sp>
      </xdr:grpSp>
      <xdr:grpSp>
        <xdr:nvGrpSpPr>
          <xdr:cNvPr id="25" name="Group 24">
            <a:extLst>
              <a:ext uri="{FF2B5EF4-FFF2-40B4-BE49-F238E27FC236}">
                <a16:creationId xmlns:a16="http://schemas.microsoft.com/office/drawing/2014/main" id="{693DE138-EC59-557C-E6FC-305AB100F578}"/>
              </a:ext>
            </a:extLst>
          </xdr:cNvPr>
          <xdr:cNvGrpSpPr/>
        </xdr:nvGrpSpPr>
        <xdr:grpSpPr>
          <a:xfrm>
            <a:off x="1628239" y="1011712"/>
            <a:ext cx="540658" cy="571666"/>
            <a:chOff x="1636485" y="1019958"/>
            <a:chExt cx="540658" cy="571666"/>
          </a:xfrm>
        </xdr:grpSpPr>
        <xdr:sp macro="" textlink="">
          <xdr:nvSpPr>
            <xdr:cNvPr id="43" name="Oval 42">
              <a:extLst>
                <a:ext uri="{FF2B5EF4-FFF2-40B4-BE49-F238E27FC236}">
                  <a16:creationId xmlns:a16="http://schemas.microsoft.com/office/drawing/2014/main" id="{66FB27B5-F656-E20B-179E-EBCEFE9A51FE}"/>
                </a:ext>
              </a:extLst>
            </xdr:cNvPr>
            <xdr:cNvSpPr/>
          </xdr:nvSpPr>
          <xdr:spPr>
            <a:xfrm>
              <a:off x="1636485" y="1019958"/>
              <a:ext cx="540658" cy="571666"/>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12" name="Graphic 11" descr="Coins with solid fill">
              <a:extLst>
                <a:ext uri="{FF2B5EF4-FFF2-40B4-BE49-F238E27FC236}">
                  <a16:creationId xmlns:a16="http://schemas.microsoft.com/office/drawing/2014/main" id="{B527FC54-8E42-A280-6C1A-41A0F058646C}"/>
                </a:ext>
              </a:extLst>
            </xdr:cNvPr>
            <xdr:cNvPicPr>
              <a:picLocks noChangeAspect="1"/>
            </xdr:cNvPicPr>
          </xdr:nvPicPr>
          <xdr:blipFill>
            <a:blip xmlns:r="http://schemas.openxmlformats.org/officeDocument/2006/relationships" r:embed="rId4">
              <a:biLevel thresh="75000"/>
              <a:alphaModFix/>
              <a:extLst>
                <a:ext uri="{96DAC541-7B7A-43D3-8B79-37D633B846F1}">
                  <asvg:svgBlip xmlns:asvg="http://schemas.microsoft.com/office/drawing/2016/SVG/main" r:embed="rId5"/>
                </a:ext>
              </a:extLst>
            </a:blip>
            <a:stretch>
              <a:fillRect/>
            </a:stretch>
          </xdr:blipFill>
          <xdr:spPr>
            <a:xfrm>
              <a:off x="1707077" y="1039092"/>
              <a:ext cx="417574" cy="478311"/>
            </a:xfrm>
            <a:prstGeom prst="rect">
              <a:avLst/>
            </a:prstGeom>
          </xdr:spPr>
        </xdr:pic>
      </xdr:grpSp>
    </xdr:grpSp>
    <xdr:clientData/>
  </xdr:twoCellAnchor>
  <xdr:twoCellAnchor>
    <xdr:from>
      <xdr:col>7</xdr:col>
      <xdr:colOff>543371</xdr:colOff>
      <xdr:row>4</xdr:row>
      <xdr:rowOff>116731</xdr:rowOff>
    </xdr:from>
    <xdr:to>
      <xdr:col>11</xdr:col>
      <xdr:colOff>187164</xdr:colOff>
      <xdr:row>8</xdr:row>
      <xdr:rowOff>113392</xdr:rowOff>
    </xdr:to>
    <xdr:grpSp>
      <xdr:nvGrpSpPr>
        <xdr:cNvPr id="61" name="Group 60">
          <a:extLst>
            <a:ext uri="{FF2B5EF4-FFF2-40B4-BE49-F238E27FC236}">
              <a16:creationId xmlns:a16="http://schemas.microsoft.com/office/drawing/2014/main" id="{461E217B-134F-2A1C-1F79-394603DB2ECD}"/>
            </a:ext>
          </a:extLst>
        </xdr:cNvPr>
        <xdr:cNvGrpSpPr/>
      </xdr:nvGrpSpPr>
      <xdr:grpSpPr>
        <a:xfrm>
          <a:off x="4799222" y="873327"/>
          <a:ext cx="2075708" cy="753256"/>
          <a:chOff x="3777013" y="912998"/>
          <a:chExt cx="2084832" cy="722376"/>
        </a:xfrm>
      </xdr:grpSpPr>
      <xdr:grpSp>
        <xdr:nvGrpSpPr>
          <xdr:cNvPr id="7" name="Group 6">
            <a:extLst>
              <a:ext uri="{FF2B5EF4-FFF2-40B4-BE49-F238E27FC236}">
                <a16:creationId xmlns:a16="http://schemas.microsoft.com/office/drawing/2014/main" id="{9EE29A21-5839-0F6F-C936-681D287C18B9}"/>
              </a:ext>
            </a:extLst>
          </xdr:cNvPr>
          <xdr:cNvGrpSpPr/>
        </xdr:nvGrpSpPr>
        <xdr:grpSpPr>
          <a:xfrm>
            <a:off x="3777013" y="912998"/>
            <a:ext cx="2084832" cy="722376"/>
            <a:chOff x="3777013" y="937739"/>
            <a:chExt cx="2084832" cy="722376"/>
          </a:xfrm>
        </xdr:grpSpPr>
        <xdr:sp macro="" textlink="">
          <xdr:nvSpPr>
            <xdr:cNvPr id="15" name="Rectangle: Rounded Corners 14">
              <a:extLst>
                <a:ext uri="{FF2B5EF4-FFF2-40B4-BE49-F238E27FC236}">
                  <a16:creationId xmlns:a16="http://schemas.microsoft.com/office/drawing/2014/main" id="{252CB061-4765-4F18-1165-D9A9927CE221}"/>
                </a:ext>
              </a:extLst>
            </xdr:cNvPr>
            <xdr:cNvSpPr/>
          </xdr:nvSpPr>
          <xdr:spPr>
            <a:xfrm>
              <a:off x="3777013" y="937739"/>
              <a:ext cx="2084832" cy="722376"/>
            </a:xfrm>
            <a:prstGeom prst="roundRect">
              <a:avLst/>
            </a:prstGeom>
            <a:solidFill>
              <a:srgbClr val="1E1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E$4">
          <xdr:nvSpPr>
            <xdr:cNvPr id="49" name="TextBox 48">
              <a:extLst>
                <a:ext uri="{FF2B5EF4-FFF2-40B4-BE49-F238E27FC236}">
                  <a16:creationId xmlns:a16="http://schemas.microsoft.com/office/drawing/2014/main" id="{5B03FB55-4A07-44C5-B9CA-D8F389AC8E6D}"/>
                </a:ext>
              </a:extLst>
            </xdr:cNvPr>
            <xdr:cNvSpPr txBox="1"/>
          </xdr:nvSpPr>
          <xdr:spPr>
            <a:xfrm>
              <a:off x="3785259" y="948375"/>
              <a:ext cx="2012205" cy="685800"/>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     Total Orders</a:t>
              </a:r>
            </a:p>
            <a:p>
              <a:pPr algn="ctr"/>
              <a:fld id="{8A36660C-905B-40EB-A117-DD89C53F6E3B}" type="TxLink">
                <a:rPr lang="en-US" sz="1400" b="1" i="0" u="none" strike="noStrike">
                  <a:solidFill>
                    <a:schemeClr val="bg1"/>
                  </a:solidFill>
                  <a:latin typeface="Calibri"/>
                  <a:ea typeface="Calibri"/>
                  <a:cs typeface="Calibri"/>
                </a:rPr>
                <a:pPr algn="ctr"/>
                <a:t>1000</a:t>
              </a:fld>
              <a:endParaRPr lang="en-US" sz="1400" b="1">
                <a:solidFill>
                  <a:schemeClr val="bg1"/>
                </a:solidFill>
              </a:endParaRPr>
            </a:p>
          </xdr:txBody>
        </xdr:sp>
      </xdr:grpSp>
      <xdr:grpSp>
        <xdr:nvGrpSpPr>
          <xdr:cNvPr id="59" name="Group 58">
            <a:extLst>
              <a:ext uri="{FF2B5EF4-FFF2-40B4-BE49-F238E27FC236}">
                <a16:creationId xmlns:a16="http://schemas.microsoft.com/office/drawing/2014/main" id="{6B5B1B56-DB57-2472-32C0-61C7EB3267AD}"/>
              </a:ext>
            </a:extLst>
          </xdr:cNvPr>
          <xdr:cNvGrpSpPr/>
        </xdr:nvGrpSpPr>
        <xdr:grpSpPr>
          <a:xfrm>
            <a:off x="3871686" y="979054"/>
            <a:ext cx="539496" cy="576072"/>
            <a:chOff x="3871686" y="979054"/>
            <a:chExt cx="539496" cy="576072"/>
          </a:xfrm>
        </xdr:grpSpPr>
        <xdr:sp macro="" textlink="">
          <xdr:nvSpPr>
            <xdr:cNvPr id="41" name="Oval 40">
              <a:extLst>
                <a:ext uri="{FF2B5EF4-FFF2-40B4-BE49-F238E27FC236}">
                  <a16:creationId xmlns:a16="http://schemas.microsoft.com/office/drawing/2014/main" id="{80D86C79-40A2-10AE-CF85-2B6A44A9E46C}"/>
                </a:ext>
              </a:extLst>
            </xdr:cNvPr>
            <xdr:cNvSpPr/>
          </xdr:nvSpPr>
          <xdr:spPr>
            <a:xfrm>
              <a:off x="3871686" y="979054"/>
              <a:ext cx="539496"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33" name="Graphic 32" descr="Shopping cart with solid fill">
              <a:extLst>
                <a:ext uri="{FF2B5EF4-FFF2-40B4-BE49-F238E27FC236}">
                  <a16:creationId xmlns:a16="http://schemas.microsoft.com/office/drawing/2014/main" id="{A3E6146C-75F6-373A-F741-D1793E02B5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6"/>
                </a:ext>
              </a:extLst>
            </a:blip>
            <a:stretch>
              <a:fillRect/>
            </a:stretch>
          </xdr:blipFill>
          <xdr:spPr>
            <a:xfrm>
              <a:off x="3900713" y="1055585"/>
              <a:ext cx="478312" cy="447033"/>
            </a:xfrm>
            <a:prstGeom prst="rect">
              <a:avLst/>
            </a:prstGeom>
          </xdr:spPr>
        </xdr:pic>
      </xdr:grpSp>
    </xdr:grpSp>
    <xdr:clientData/>
  </xdr:twoCellAnchor>
  <xdr:twoCellAnchor>
    <xdr:from>
      <xdr:col>15</xdr:col>
      <xdr:colOff>275977</xdr:colOff>
      <xdr:row>4</xdr:row>
      <xdr:rowOff>145070</xdr:rowOff>
    </xdr:from>
    <xdr:to>
      <xdr:col>18</xdr:col>
      <xdr:colOff>524532</xdr:colOff>
      <xdr:row>8</xdr:row>
      <xdr:rowOff>141731</xdr:rowOff>
    </xdr:to>
    <xdr:grpSp>
      <xdr:nvGrpSpPr>
        <xdr:cNvPr id="63" name="Group 62">
          <a:extLst>
            <a:ext uri="{FF2B5EF4-FFF2-40B4-BE49-F238E27FC236}">
              <a16:creationId xmlns:a16="http://schemas.microsoft.com/office/drawing/2014/main" id="{18035120-5E2C-D6A6-BF67-E40CB3985DDE}"/>
            </a:ext>
          </a:extLst>
        </xdr:cNvPr>
        <xdr:cNvGrpSpPr/>
      </xdr:nvGrpSpPr>
      <xdr:grpSpPr>
        <a:xfrm>
          <a:off x="9395658" y="901666"/>
          <a:ext cx="2072491" cy="753256"/>
          <a:chOff x="8114059" y="911100"/>
          <a:chExt cx="2084832" cy="722376"/>
        </a:xfrm>
      </xdr:grpSpPr>
      <xdr:grpSp>
        <xdr:nvGrpSpPr>
          <xdr:cNvPr id="55" name="Group 54">
            <a:extLst>
              <a:ext uri="{FF2B5EF4-FFF2-40B4-BE49-F238E27FC236}">
                <a16:creationId xmlns:a16="http://schemas.microsoft.com/office/drawing/2014/main" id="{D45472CF-9BCE-8797-5626-3AA57F63DCFE}"/>
              </a:ext>
            </a:extLst>
          </xdr:cNvPr>
          <xdr:cNvGrpSpPr/>
        </xdr:nvGrpSpPr>
        <xdr:grpSpPr>
          <a:xfrm>
            <a:off x="8114059" y="911100"/>
            <a:ext cx="2084832" cy="722376"/>
            <a:chOff x="8114059" y="927594"/>
            <a:chExt cx="2084832" cy="722376"/>
          </a:xfrm>
        </xdr:grpSpPr>
        <xdr:sp macro="" textlink="">
          <xdr:nvSpPr>
            <xdr:cNvPr id="17" name="Rectangle: Rounded Corners 16">
              <a:extLst>
                <a:ext uri="{FF2B5EF4-FFF2-40B4-BE49-F238E27FC236}">
                  <a16:creationId xmlns:a16="http://schemas.microsoft.com/office/drawing/2014/main" id="{312E9CD3-9D64-865A-CBAF-1713F77B3A90}"/>
                </a:ext>
              </a:extLst>
            </xdr:cNvPr>
            <xdr:cNvSpPr/>
          </xdr:nvSpPr>
          <xdr:spPr>
            <a:xfrm>
              <a:off x="8114059" y="927594"/>
              <a:ext cx="2084832" cy="722376"/>
            </a:xfrm>
            <a:prstGeom prst="roundRect">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B$8">
          <xdr:nvSpPr>
            <xdr:cNvPr id="52" name="TextBox 51">
              <a:extLst>
                <a:ext uri="{FF2B5EF4-FFF2-40B4-BE49-F238E27FC236}">
                  <a16:creationId xmlns:a16="http://schemas.microsoft.com/office/drawing/2014/main" id="{7B6413EE-FDE9-419A-ACC2-8780B23D4AA3}"/>
                </a:ext>
              </a:extLst>
            </xdr:cNvPr>
            <xdr:cNvSpPr txBox="1"/>
          </xdr:nvSpPr>
          <xdr:spPr>
            <a:xfrm>
              <a:off x="8246007" y="940130"/>
              <a:ext cx="1866900" cy="684480"/>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      Average Order</a:t>
              </a:r>
            </a:p>
            <a:p>
              <a:pPr algn="ctr"/>
              <a:r>
                <a:rPr lang="en-US" sz="1400" b="1" i="0" u="none" strike="noStrike">
                  <a:solidFill>
                    <a:schemeClr val="bg1"/>
                  </a:solidFill>
                  <a:latin typeface="Calibri"/>
                  <a:ea typeface="Calibri"/>
                  <a:cs typeface="Calibri"/>
                </a:rPr>
                <a:t>  </a:t>
              </a:r>
              <a:fld id="{8CC09D5E-5CEF-4E9F-B5EF-90D99723668A}" type="TxLink">
                <a:rPr lang="en-US" sz="1400" b="1" i="0" u="none" strike="noStrike">
                  <a:solidFill>
                    <a:schemeClr val="bg1"/>
                  </a:solidFill>
                  <a:latin typeface="Calibri"/>
                  <a:ea typeface="Calibri"/>
                  <a:cs typeface="Calibri"/>
                </a:rPr>
                <a:pPr algn="ctr"/>
                <a:t>$118.58</a:t>
              </a:fld>
              <a:endParaRPr lang="en-US" sz="1400" b="1" i="0" u="none" strike="noStrike">
                <a:solidFill>
                  <a:schemeClr val="bg1"/>
                </a:solidFill>
                <a:latin typeface="Calibri"/>
                <a:ea typeface="Calibri"/>
                <a:cs typeface="Calibri"/>
              </a:endParaRPr>
            </a:p>
          </xdr:txBody>
        </xdr:sp>
      </xdr:grpSp>
      <xdr:grpSp>
        <xdr:nvGrpSpPr>
          <xdr:cNvPr id="56" name="Group 55">
            <a:extLst>
              <a:ext uri="{FF2B5EF4-FFF2-40B4-BE49-F238E27FC236}">
                <a16:creationId xmlns:a16="http://schemas.microsoft.com/office/drawing/2014/main" id="{59F29DDD-BC10-C25A-8440-333F5CFD8AD0}"/>
              </a:ext>
            </a:extLst>
          </xdr:cNvPr>
          <xdr:cNvGrpSpPr/>
        </xdr:nvGrpSpPr>
        <xdr:grpSpPr>
          <a:xfrm>
            <a:off x="8155381" y="990925"/>
            <a:ext cx="539496" cy="576072"/>
            <a:chOff x="8155381" y="990925"/>
            <a:chExt cx="539496" cy="576072"/>
          </a:xfrm>
        </xdr:grpSpPr>
        <xdr:sp macro="" textlink="">
          <xdr:nvSpPr>
            <xdr:cNvPr id="44" name="Oval 43">
              <a:extLst>
                <a:ext uri="{FF2B5EF4-FFF2-40B4-BE49-F238E27FC236}">
                  <a16:creationId xmlns:a16="http://schemas.microsoft.com/office/drawing/2014/main" id="{828C199B-4D7D-114F-792E-A8E0B39D0B62}"/>
                </a:ext>
              </a:extLst>
            </xdr:cNvPr>
            <xdr:cNvSpPr/>
          </xdr:nvSpPr>
          <xdr:spPr>
            <a:xfrm>
              <a:off x="8155381" y="990925"/>
              <a:ext cx="539496"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9" name="Graphic 38" descr="Bar graph with downward trend with solid fill">
              <a:extLst>
                <a:ext uri="{FF2B5EF4-FFF2-40B4-BE49-F238E27FC236}">
                  <a16:creationId xmlns:a16="http://schemas.microsoft.com/office/drawing/2014/main" id="{D33F3567-EAA2-F743-2664-1C9543580F5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13765" y="1063832"/>
              <a:ext cx="445324" cy="445324"/>
            </a:xfrm>
            <a:prstGeom prst="rect">
              <a:avLst/>
            </a:prstGeom>
          </xdr:spPr>
        </xdr:pic>
      </xdr:grpSp>
    </xdr:grpSp>
    <xdr:clientData/>
  </xdr:twoCellAnchor>
  <xdr:twoCellAnchor>
    <xdr:from>
      <xdr:col>4</xdr:col>
      <xdr:colOff>120953</xdr:colOff>
      <xdr:row>52</xdr:row>
      <xdr:rowOff>40302</xdr:rowOff>
    </xdr:from>
    <xdr:to>
      <xdr:col>22</xdr:col>
      <xdr:colOff>423333</xdr:colOff>
      <xdr:row>70</xdr:row>
      <xdr:rowOff>40530</xdr:rowOff>
    </xdr:to>
    <xdr:sp macro="" textlink="">
      <xdr:nvSpPr>
        <xdr:cNvPr id="21" name="Rectangle: Rounded Corners 20">
          <a:extLst>
            <a:ext uri="{FF2B5EF4-FFF2-40B4-BE49-F238E27FC236}">
              <a16:creationId xmlns:a16="http://schemas.microsoft.com/office/drawing/2014/main" id="{B1A4F2E5-0EBC-ABB2-FB96-ED2C7DBFF0BB}"/>
            </a:ext>
          </a:extLst>
        </xdr:cNvPr>
        <xdr:cNvSpPr/>
      </xdr:nvSpPr>
      <xdr:spPr>
        <a:xfrm>
          <a:off x="2552868" y="9876047"/>
          <a:ext cx="11245997" cy="3404909"/>
        </a:xfrm>
        <a:prstGeom prst="roundRect">
          <a:avLst>
            <a:gd name="adj" fmla="val 912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352776</xdr:colOff>
      <xdr:row>53</xdr:row>
      <xdr:rowOff>20158</xdr:rowOff>
    </xdr:from>
    <xdr:to>
      <xdr:col>13</xdr:col>
      <xdr:colOff>81063</xdr:colOff>
      <xdr:row>68</xdr:row>
      <xdr:rowOff>40531</xdr:rowOff>
    </xdr:to>
    <xdr:sp macro="" textlink="">
      <xdr:nvSpPr>
        <xdr:cNvPr id="71" name="Rectangle: Rounded Corners 70">
          <a:extLst>
            <a:ext uri="{FF2B5EF4-FFF2-40B4-BE49-F238E27FC236}">
              <a16:creationId xmlns:a16="http://schemas.microsoft.com/office/drawing/2014/main" id="{6DCAF719-6542-F9B1-DAFB-7148EE6C43D1}"/>
            </a:ext>
          </a:extLst>
        </xdr:cNvPr>
        <xdr:cNvSpPr/>
      </xdr:nvSpPr>
      <xdr:spPr>
        <a:xfrm>
          <a:off x="2784691" y="10045052"/>
          <a:ext cx="5200095" cy="2857607"/>
        </a:xfrm>
        <a:prstGeom prst="roundRect">
          <a:avLst>
            <a:gd name="adj" fmla="val 51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1E1B4A"/>
              </a:solidFill>
            </a:rPr>
            <a:t>BUSINESS INSIGHT</a:t>
          </a:r>
        </a:p>
        <a:p>
          <a:pPr algn="l"/>
          <a:r>
            <a:rPr lang="en-US" sz="1600">
              <a:solidFill>
                <a:srgbClr val="1E1B4A"/>
              </a:solidFill>
            </a:rPr>
            <a:t>1. Revenue is driven by a few key product categories.</a:t>
          </a:r>
        </a:p>
        <a:p>
          <a:pPr algn="l"/>
          <a:r>
            <a:rPr lang="en-US" sz="1600">
              <a:solidFill>
                <a:srgbClr val="1E1B4A"/>
              </a:solidFill>
            </a:rPr>
            <a:t>2. Revenue shows a positive relationship with both quantity sold (r = 0.684) and reward points earned (r = 0.591).</a:t>
          </a:r>
        </a:p>
        <a:p>
          <a:pPr algn="l"/>
          <a:r>
            <a:rPr lang="en-US" sz="1600">
              <a:solidFill>
                <a:srgbClr val="1E1B4A"/>
              </a:solidFill>
            </a:rPr>
            <a:t>3. High-volume categories do not always generate the highest revenue.</a:t>
          </a:r>
        </a:p>
        <a:p>
          <a:pPr algn="l"/>
          <a:r>
            <a:rPr lang="en-US" sz="1600">
              <a:solidFill>
                <a:srgbClr val="1E1B4A"/>
              </a:solidFill>
            </a:rPr>
            <a:t>4. Branch performance varies, with one location outperforming the others.</a:t>
          </a:r>
        </a:p>
        <a:p>
          <a:pPr algn="l"/>
          <a:r>
            <a:rPr lang="en-US" sz="1600">
              <a:solidFill>
                <a:srgbClr val="1E1B4A"/>
              </a:solidFill>
            </a:rPr>
            <a:t>5. Customer segments contribute differently to overall business performance.</a:t>
          </a:r>
        </a:p>
        <a:p>
          <a:pPr algn="l"/>
          <a:endParaRPr lang="en-US" sz="1400"/>
        </a:p>
      </xdr:txBody>
    </xdr:sp>
    <xdr:clientData/>
  </xdr:twoCellAnchor>
  <xdr:twoCellAnchor>
    <xdr:from>
      <xdr:col>13</xdr:col>
      <xdr:colOff>310745</xdr:colOff>
      <xdr:row>52</xdr:row>
      <xdr:rowOff>120951</xdr:rowOff>
    </xdr:from>
    <xdr:to>
      <xdr:col>22</xdr:col>
      <xdr:colOff>324255</xdr:colOff>
      <xdr:row>69</xdr:row>
      <xdr:rowOff>27021</xdr:rowOff>
    </xdr:to>
    <xdr:sp macro="" textlink="">
      <xdr:nvSpPr>
        <xdr:cNvPr id="73" name="Rectangle: Rounded Corners 72">
          <a:extLst>
            <a:ext uri="{FF2B5EF4-FFF2-40B4-BE49-F238E27FC236}">
              <a16:creationId xmlns:a16="http://schemas.microsoft.com/office/drawing/2014/main" id="{0BE1A2FD-0873-B8CC-AA9B-E504461D0D1D}"/>
            </a:ext>
          </a:extLst>
        </xdr:cNvPr>
        <xdr:cNvSpPr/>
      </xdr:nvSpPr>
      <xdr:spPr>
        <a:xfrm>
          <a:off x="8214468" y="9956696"/>
          <a:ext cx="5485319" cy="3121602"/>
        </a:xfrm>
        <a:prstGeom prst="roundRect">
          <a:avLst>
            <a:gd name="adj" fmla="val 51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1E1B4A"/>
              </a:solidFill>
            </a:rPr>
            <a:t>RECOMMENDATION</a:t>
          </a:r>
        </a:p>
        <a:p>
          <a:pPr algn="l"/>
          <a:r>
            <a:rPr lang="en-US" sz="1600">
              <a:solidFill>
                <a:srgbClr val="1E1B4A"/>
              </a:solidFill>
            </a:rPr>
            <a:t>1. Improve underperforming categories through focused promotions.</a:t>
          </a:r>
        </a:p>
        <a:p>
          <a:pPr algn="l"/>
          <a:r>
            <a:rPr lang="en-US" sz="1600">
              <a:solidFill>
                <a:srgbClr val="1E1B4A"/>
              </a:solidFill>
            </a:rPr>
            <a:t>2. Leverage reward programs and volume-based promotions to drive higher customer spending.</a:t>
          </a:r>
        </a:p>
        <a:p>
          <a:pPr algn="l"/>
          <a:r>
            <a:rPr lang="en-US" sz="1600">
              <a:solidFill>
                <a:srgbClr val="1E1B4A"/>
              </a:solidFill>
            </a:rPr>
            <a:t>3. Optimize pricing and promotions to maximize both sales volume and revenue.</a:t>
          </a:r>
        </a:p>
        <a:p>
          <a:pPr algn="l"/>
          <a:r>
            <a:rPr lang="en-US" sz="1600">
              <a:solidFill>
                <a:srgbClr val="1E1B4A"/>
              </a:solidFill>
            </a:rPr>
            <a:t>4. Replicate the best practices of the highest-performing branch across all locations.</a:t>
          </a:r>
        </a:p>
        <a:p>
          <a:pPr algn="l"/>
          <a:r>
            <a:rPr lang="en-US" sz="1600">
              <a:solidFill>
                <a:srgbClr val="1E1B4A"/>
              </a:solidFill>
            </a:rPr>
            <a:t>5. Strengthen loyalty initiatives to increase repeat purchases and customer value.</a:t>
          </a:r>
        </a:p>
      </xdr:txBody>
    </xdr:sp>
    <xdr:clientData/>
  </xdr:twoCellAnchor>
  <xdr:twoCellAnchor>
    <xdr:from>
      <xdr:col>4</xdr:col>
      <xdr:colOff>292301</xdr:colOff>
      <xdr:row>14</xdr:row>
      <xdr:rowOff>80635</xdr:rowOff>
    </xdr:from>
    <xdr:to>
      <xdr:col>13</xdr:col>
      <xdr:colOff>0</xdr:colOff>
      <xdr:row>31</xdr:row>
      <xdr:rowOff>90717</xdr:rowOff>
    </xdr:to>
    <xdr:graphicFrame macro="">
      <xdr:nvGraphicFramePr>
        <xdr:cNvPr id="9" name="Chart 8">
          <a:extLst>
            <a:ext uri="{FF2B5EF4-FFF2-40B4-BE49-F238E27FC236}">
              <a16:creationId xmlns:a16="http://schemas.microsoft.com/office/drawing/2014/main" id="{7A376559-F020-484A-8431-EF0DF2C97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229681</xdr:colOff>
      <xdr:row>52</xdr:row>
      <xdr:rowOff>161261</xdr:rowOff>
    </xdr:from>
    <xdr:to>
      <xdr:col>13</xdr:col>
      <xdr:colOff>272154</xdr:colOff>
      <xdr:row>69</xdr:row>
      <xdr:rowOff>0</xdr:rowOff>
    </xdr:to>
    <xdr:cxnSp macro="">
      <xdr:nvCxnSpPr>
        <xdr:cNvPr id="50" name="Straight Connector 49">
          <a:extLst>
            <a:ext uri="{FF2B5EF4-FFF2-40B4-BE49-F238E27FC236}">
              <a16:creationId xmlns:a16="http://schemas.microsoft.com/office/drawing/2014/main" id="{3DF17F0C-A716-B5AD-F12F-551D1D3599AC}"/>
            </a:ext>
          </a:extLst>
        </xdr:cNvPr>
        <xdr:cNvCxnSpPr/>
      </xdr:nvCxnSpPr>
      <xdr:spPr>
        <a:xfrm flipH="1">
          <a:off x="8133404" y="9997006"/>
          <a:ext cx="42473" cy="3054271"/>
        </a:xfrm>
        <a:prstGeom prst="line">
          <a:avLst/>
        </a:prstGeom>
        <a:ln>
          <a:headEnd type="none" w="med" len="med"/>
          <a:tailEnd type="none" w="med" len="med"/>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544285</xdr:colOff>
      <xdr:row>33</xdr:row>
      <xdr:rowOff>149581</xdr:rowOff>
    </xdr:from>
    <xdr:to>
      <xdr:col>22</xdr:col>
      <xdr:colOff>100819</xdr:colOff>
      <xdr:row>47</xdr:row>
      <xdr:rowOff>80643</xdr:rowOff>
    </xdr:to>
    <xdr:graphicFrame macro="">
      <xdr:nvGraphicFramePr>
        <xdr:cNvPr id="32" name="Chart 31">
          <a:extLst>
            <a:ext uri="{FF2B5EF4-FFF2-40B4-BE49-F238E27FC236}">
              <a16:creationId xmlns:a16="http://schemas.microsoft.com/office/drawing/2014/main" id="{119A0F86-18FC-4CAC-B395-F0803E106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372940</xdr:colOff>
      <xdr:row>14</xdr:row>
      <xdr:rowOff>20160</xdr:rowOff>
    </xdr:from>
    <xdr:to>
      <xdr:col>18</xdr:col>
      <xdr:colOff>10080</xdr:colOff>
      <xdr:row>31</xdr:row>
      <xdr:rowOff>20158</xdr:rowOff>
    </xdr:to>
    <xdr:graphicFrame macro="">
      <xdr:nvGraphicFramePr>
        <xdr:cNvPr id="11" name="Chart 10">
          <a:extLst>
            <a:ext uri="{FF2B5EF4-FFF2-40B4-BE49-F238E27FC236}">
              <a16:creationId xmlns:a16="http://schemas.microsoft.com/office/drawing/2014/main" id="{601E69A8-43FA-4607-AB58-15E9A1DED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36671</xdr:colOff>
      <xdr:row>14</xdr:row>
      <xdr:rowOff>20157</xdr:rowOff>
    </xdr:from>
    <xdr:to>
      <xdr:col>22</xdr:col>
      <xdr:colOff>364787</xdr:colOff>
      <xdr:row>28</xdr:row>
      <xdr:rowOff>162128</xdr:rowOff>
    </xdr:to>
    <xdr:graphicFrame macro="">
      <xdr:nvGraphicFramePr>
        <xdr:cNvPr id="27" name="Chart 26">
          <a:extLst>
            <a:ext uri="{FF2B5EF4-FFF2-40B4-BE49-F238E27FC236}">
              <a16:creationId xmlns:a16="http://schemas.microsoft.com/office/drawing/2014/main" id="{117F56E7-F42A-4868-810C-AC6C6AA6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359207</xdr:colOff>
      <xdr:row>8</xdr:row>
      <xdr:rowOff>160748</xdr:rowOff>
    </xdr:from>
    <xdr:to>
      <xdr:col>13</xdr:col>
      <xdr:colOff>54045</xdr:colOff>
      <xdr:row>12</xdr:row>
      <xdr:rowOff>157410</xdr:rowOff>
    </xdr:to>
    <xdr:grpSp>
      <xdr:nvGrpSpPr>
        <xdr:cNvPr id="31" name="Group 30">
          <a:extLst>
            <a:ext uri="{FF2B5EF4-FFF2-40B4-BE49-F238E27FC236}">
              <a16:creationId xmlns:a16="http://schemas.microsoft.com/office/drawing/2014/main" id="{A2BDBC9A-8E56-8336-3738-BAB51EC200CB}"/>
            </a:ext>
          </a:extLst>
        </xdr:cNvPr>
        <xdr:cNvGrpSpPr/>
      </xdr:nvGrpSpPr>
      <xdr:grpSpPr>
        <a:xfrm>
          <a:off x="5831016" y="1673939"/>
          <a:ext cx="2126752" cy="753258"/>
          <a:chOff x="2546458" y="1592019"/>
          <a:chExt cx="2113604" cy="722376"/>
        </a:xfrm>
      </xdr:grpSpPr>
      <xdr:sp macro="" textlink="">
        <xdr:nvSpPr>
          <xdr:cNvPr id="34" name="Rectangle: Rounded Corners 33">
            <a:extLst>
              <a:ext uri="{FF2B5EF4-FFF2-40B4-BE49-F238E27FC236}">
                <a16:creationId xmlns:a16="http://schemas.microsoft.com/office/drawing/2014/main" id="{C1F341B3-C2A0-0EE3-4774-5C3C66040A9F}"/>
              </a:ext>
            </a:extLst>
          </xdr:cNvPr>
          <xdr:cNvSpPr/>
        </xdr:nvSpPr>
        <xdr:spPr>
          <a:xfrm>
            <a:off x="2546458" y="1592019"/>
            <a:ext cx="2068338" cy="722376"/>
          </a:xfrm>
          <a:prstGeom prst="roundRect">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D1A0CD96-08E0-B6CE-0276-E5766D1D278A}"/>
              </a:ext>
            </a:extLst>
          </xdr:cNvPr>
          <xdr:cNvGrpSpPr/>
        </xdr:nvGrpSpPr>
        <xdr:grpSpPr>
          <a:xfrm>
            <a:off x="2594881" y="1632966"/>
            <a:ext cx="535228" cy="576072"/>
            <a:chOff x="10332853" y="966518"/>
            <a:chExt cx="539496" cy="576072"/>
          </a:xfrm>
        </xdr:grpSpPr>
        <xdr:sp macro="" textlink="">
          <xdr:nvSpPr>
            <xdr:cNvPr id="38" name="Oval 37">
              <a:extLst>
                <a:ext uri="{FF2B5EF4-FFF2-40B4-BE49-F238E27FC236}">
                  <a16:creationId xmlns:a16="http://schemas.microsoft.com/office/drawing/2014/main" id="{075F8BA5-3126-238B-782D-B604B3A91AB7}"/>
                </a:ext>
              </a:extLst>
            </xdr:cNvPr>
            <xdr:cNvSpPr/>
          </xdr:nvSpPr>
          <xdr:spPr>
            <a:xfrm>
              <a:off x="10332853" y="966518"/>
              <a:ext cx="539496"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7" name="Graphic 46" descr="Bar graph with upward trend with solid fill">
              <a:extLst>
                <a:ext uri="{FF2B5EF4-FFF2-40B4-BE49-F238E27FC236}">
                  <a16:creationId xmlns:a16="http://schemas.microsoft.com/office/drawing/2014/main" id="{B655777A-43A4-A066-CF8D-F967F4EAA4C4}"/>
                </a:ext>
              </a:extLst>
            </xdr:cNvPr>
            <xdr:cNvPicPr>
              <a:picLocks noChangeAspect="1"/>
            </xdr:cNvPicPr>
          </xdr:nvPicPr>
          <xdr:blipFill>
            <a:blip xmlns:r="http://schemas.openxmlformats.org/officeDocument/2006/relationships" r:embed="rId13">
              <a:biLevel thresh="25000"/>
              <a:extLst>
                <a:ext uri="{96DAC541-7B7A-43D3-8B79-37D633B846F1}">
                  <asvg:svgBlip xmlns:asvg="http://schemas.microsoft.com/office/drawing/2016/SVG/main" r:embed="rId14"/>
                </a:ext>
              </a:extLst>
            </a:blip>
            <a:stretch>
              <a:fillRect/>
            </a:stretch>
          </xdr:blipFill>
          <xdr:spPr>
            <a:xfrm>
              <a:off x="10433703" y="1065392"/>
              <a:ext cx="369544" cy="369544"/>
            </a:xfrm>
            <a:prstGeom prst="rect">
              <a:avLst/>
            </a:prstGeom>
          </xdr:spPr>
        </xdr:pic>
      </xdr:grpSp>
      <xdr:sp macro="" textlink="$C$12">
        <xdr:nvSpPr>
          <xdr:cNvPr id="75" name="TextBox 74">
            <a:extLst>
              <a:ext uri="{FF2B5EF4-FFF2-40B4-BE49-F238E27FC236}">
                <a16:creationId xmlns:a16="http://schemas.microsoft.com/office/drawing/2014/main" id="{85068015-5172-4659-98ED-A38285822F8A}"/>
              </a:ext>
            </a:extLst>
          </xdr:cNvPr>
          <xdr:cNvSpPr txBox="1"/>
        </xdr:nvSpPr>
        <xdr:spPr>
          <a:xfrm>
            <a:off x="3129369" y="1632859"/>
            <a:ext cx="1530693" cy="665238"/>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Calibri"/>
                <a:ea typeface="Calibri"/>
                <a:cs typeface="Calibri"/>
              </a:rPr>
              <a:t>Top Category Share</a:t>
            </a:r>
          </a:p>
          <a:p>
            <a:pPr algn="ctr"/>
            <a:fld id="{EF84F76A-ACBD-42D4-990F-7AFDE5C72E95}" type="TxLink">
              <a:rPr lang="en-US" sz="1200" b="1" i="0" u="none" strike="noStrike">
                <a:solidFill>
                  <a:schemeClr val="bg1"/>
                </a:solidFill>
                <a:latin typeface="Calibri"/>
                <a:ea typeface="Calibri"/>
                <a:cs typeface="Calibri"/>
              </a:rPr>
              <a:pPr algn="ctr"/>
              <a:t>22.8%</a:t>
            </a:fld>
            <a:endParaRPr lang="en-US" sz="1200" b="1" i="0" u="none" strike="noStrike">
              <a:solidFill>
                <a:schemeClr val="bg1"/>
              </a:solidFill>
              <a:latin typeface="Calibri"/>
              <a:ea typeface="Calibri"/>
              <a:cs typeface="Calibri"/>
            </a:endParaRPr>
          </a:p>
        </xdr:txBody>
      </xdr:sp>
    </xdr:grpSp>
    <xdr:clientData/>
  </xdr:twoCellAnchor>
  <xdr:twoCellAnchor>
    <xdr:from>
      <xdr:col>11</xdr:col>
      <xdr:colOff>393362</xdr:colOff>
      <xdr:row>4</xdr:row>
      <xdr:rowOff>128641</xdr:rowOff>
    </xdr:from>
    <xdr:to>
      <xdr:col>15</xdr:col>
      <xdr:colOff>42653</xdr:colOff>
      <xdr:row>8</xdr:row>
      <xdr:rowOff>125302</xdr:rowOff>
    </xdr:to>
    <xdr:grpSp>
      <xdr:nvGrpSpPr>
        <xdr:cNvPr id="95" name="Group 94">
          <a:extLst>
            <a:ext uri="{FF2B5EF4-FFF2-40B4-BE49-F238E27FC236}">
              <a16:creationId xmlns:a16="http://schemas.microsoft.com/office/drawing/2014/main" id="{2BF5EA30-8A55-78C2-1233-3F1C96FF824B}"/>
            </a:ext>
          </a:extLst>
        </xdr:cNvPr>
        <xdr:cNvGrpSpPr/>
      </xdr:nvGrpSpPr>
      <xdr:grpSpPr>
        <a:xfrm>
          <a:off x="7081128" y="885237"/>
          <a:ext cx="2081206" cy="753256"/>
          <a:chOff x="6844163" y="864434"/>
          <a:chExt cx="2068339" cy="722376"/>
        </a:xfrm>
      </xdr:grpSpPr>
      <xdr:grpSp>
        <xdr:nvGrpSpPr>
          <xdr:cNvPr id="30" name="Group 29">
            <a:extLst>
              <a:ext uri="{FF2B5EF4-FFF2-40B4-BE49-F238E27FC236}">
                <a16:creationId xmlns:a16="http://schemas.microsoft.com/office/drawing/2014/main" id="{849C4EBA-B266-CF3C-95DE-10AE282162FF}"/>
              </a:ext>
            </a:extLst>
          </xdr:cNvPr>
          <xdr:cNvGrpSpPr/>
        </xdr:nvGrpSpPr>
        <xdr:grpSpPr>
          <a:xfrm>
            <a:off x="6844163" y="864434"/>
            <a:ext cx="2068339" cy="722376"/>
            <a:chOff x="5926938" y="929491"/>
            <a:chExt cx="2084832" cy="722376"/>
          </a:xfrm>
        </xdr:grpSpPr>
        <xdr:sp macro="" textlink="">
          <xdr:nvSpPr>
            <xdr:cNvPr id="16" name="Rectangle: Rounded Corners 15">
              <a:extLst>
                <a:ext uri="{FF2B5EF4-FFF2-40B4-BE49-F238E27FC236}">
                  <a16:creationId xmlns:a16="http://schemas.microsoft.com/office/drawing/2014/main" id="{4E20C0AB-07DF-F97E-BAA9-3BD99DFF68E9}"/>
                </a:ext>
              </a:extLst>
            </xdr:cNvPr>
            <xdr:cNvSpPr/>
          </xdr:nvSpPr>
          <xdr:spPr>
            <a:xfrm>
              <a:off x="5926938" y="929491"/>
              <a:ext cx="2084832" cy="722376"/>
            </a:xfrm>
            <a:prstGeom prst="roundRect">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H$4">
          <xdr:nvSpPr>
            <xdr:cNvPr id="29" name="TextBox 28">
              <a:extLst>
                <a:ext uri="{FF2B5EF4-FFF2-40B4-BE49-F238E27FC236}">
                  <a16:creationId xmlns:a16="http://schemas.microsoft.com/office/drawing/2014/main" id="{DC2A206C-5EA9-4DF0-87AA-2074962C4BFF}"/>
                </a:ext>
              </a:extLst>
            </xdr:cNvPr>
            <xdr:cNvSpPr txBox="1"/>
          </xdr:nvSpPr>
          <xdr:spPr>
            <a:xfrm>
              <a:off x="6284026" y="1003712"/>
              <a:ext cx="1699569" cy="554924"/>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u="none" strike="noStrike">
                  <a:solidFill>
                    <a:schemeClr val="bg1"/>
                  </a:solidFill>
                  <a:latin typeface="Calibri"/>
                  <a:ea typeface="Calibri"/>
                  <a:cs typeface="Calibri"/>
                </a:rPr>
                <a:t>   Total Quantity Sold</a:t>
              </a:r>
            </a:p>
            <a:p>
              <a:pPr algn="ctr"/>
              <a:fld id="{B7CA1C3B-BA5E-4DC8-A29A-210F63DFA47D}" type="TxLink">
                <a:rPr lang="en-US" sz="1300" b="1" i="0" u="none" strike="noStrike">
                  <a:solidFill>
                    <a:schemeClr val="bg1"/>
                  </a:solidFill>
                  <a:latin typeface="Calibri"/>
                  <a:ea typeface="Calibri"/>
                  <a:cs typeface="Calibri"/>
                </a:rPr>
                <a:pPr algn="ctr"/>
                <a:t>10337</a:t>
              </a:fld>
              <a:endParaRPr lang="en-US" sz="1300" b="1">
                <a:solidFill>
                  <a:schemeClr val="bg1"/>
                </a:solidFill>
              </a:endParaRPr>
            </a:p>
          </xdr:txBody>
        </xdr:sp>
      </xdr:grpSp>
      <xdr:grpSp>
        <xdr:nvGrpSpPr>
          <xdr:cNvPr id="88" name="Group 87">
            <a:extLst>
              <a:ext uri="{FF2B5EF4-FFF2-40B4-BE49-F238E27FC236}">
                <a16:creationId xmlns:a16="http://schemas.microsoft.com/office/drawing/2014/main" id="{8DA5432F-2E42-47C9-E90B-A2A138053ECA}"/>
              </a:ext>
            </a:extLst>
          </xdr:cNvPr>
          <xdr:cNvGrpSpPr/>
        </xdr:nvGrpSpPr>
        <xdr:grpSpPr>
          <a:xfrm>
            <a:off x="6866428" y="952738"/>
            <a:ext cx="533999" cy="576072"/>
            <a:chOff x="6866428" y="952738"/>
            <a:chExt cx="533999" cy="576072"/>
          </a:xfrm>
        </xdr:grpSpPr>
        <xdr:sp macro="" textlink="">
          <xdr:nvSpPr>
            <xdr:cNvPr id="45" name="Oval 44">
              <a:extLst>
                <a:ext uri="{FF2B5EF4-FFF2-40B4-BE49-F238E27FC236}">
                  <a16:creationId xmlns:a16="http://schemas.microsoft.com/office/drawing/2014/main" id="{4298C79F-E5FF-949C-4E41-B116AFAC1256}"/>
                </a:ext>
              </a:extLst>
            </xdr:cNvPr>
            <xdr:cNvSpPr/>
          </xdr:nvSpPr>
          <xdr:spPr>
            <a:xfrm>
              <a:off x="6866428" y="952738"/>
              <a:ext cx="533999"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6" name="Graphic 85" descr="Dollar with solid fill">
              <a:extLst>
                <a:ext uri="{FF2B5EF4-FFF2-40B4-BE49-F238E27FC236}">
                  <a16:creationId xmlns:a16="http://schemas.microsoft.com/office/drawing/2014/main" id="{1EF54A2A-67B0-9E3B-F66C-454A409612B1}"/>
                </a:ext>
              </a:extLst>
            </xdr:cNvPr>
            <xdr:cNvPicPr>
              <a:picLocks noChangeAspect="1"/>
            </xdr:cNvPicPr>
          </xdr:nvPicPr>
          <xdr:blipFill>
            <a:blip xmlns:r="http://schemas.openxmlformats.org/officeDocument/2006/relationships" r:embed="rId15">
              <a:biLevel thresh="25000"/>
              <a:extLst>
                <a:ext uri="{96DAC541-7B7A-43D3-8B79-37D633B846F1}">
                  <asvg:svgBlip xmlns:asvg="http://schemas.microsoft.com/office/drawing/2016/SVG/main" r:embed="rId16"/>
                </a:ext>
              </a:extLst>
            </a:blip>
            <a:stretch>
              <a:fillRect/>
            </a:stretch>
          </xdr:blipFill>
          <xdr:spPr>
            <a:xfrm>
              <a:off x="6924524" y="1018015"/>
              <a:ext cx="423333" cy="423333"/>
            </a:xfrm>
            <a:prstGeom prst="rect">
              <a:avLst/>
            </a:prstGeom>
          </xdr:spPr>
        </xdr:pic>
      </xdr:grpSp>
    </xdr:grpSp>
    <xdr:clientData/>
  </xdr:twoCellAnchor>
  <xdr:twoCellAnchor>
    <xdr:from>
      <xdr:col>19</xdr:col>
      <xdr:colOff>128629</xdr:colOff>
      <xdr:row>4</xdr:row>
      <xdr:rowOff>141817</xdr:rowOff>
    </xdr:from>
    <xdr:to>
      <xdr:col>22</xdr:col>
      <xdr:colOff>382681</xdr:colOff>
      <xdr:row>8</xdr:row>
      <xdr:rowOff>138478</xdr:rowOff>
    </xdr:to>
    <xdr:grpSp>
      <xdr:nvGrpSpPr>
        <xdr:cNvPr id="18" name="Group 17">
          <a:extLst>
            <a:ext uri="{FF2B5EF4-FFF2-40B4-BE49-F238E27FC236}">
              <a16:creationId xmlns:a16="http://schemas.microsoft.com/office/drawing/2014/main" id="{CCFE5AF3-915C-8865-18CE-FEB07978904D}"/>
            </a:ext>
          </a:extLst>
        </xdr:cNvPr>
        <xdr:cNvGrpSpPr/>
      </xdr:nvGrpSpPr>
      <xdr:grpSpPr>
        <a:xfrm>
          <a:off x="11680225" y="898413"/>
          <a:ext cx="2077988" cy="753256"/>
          <a:chOff x="4684501" y="1603313"/>
          <a:chExt cx="2068338" cy="722376"/>
        </a:xfrm>
      </xdr:grpSpPr>
      <xdr:sp macro="" textlink="">
        <xdr:nvSpPr>
          <xdr:cNvPr id="72" name="Rectangle: Rounded Corners 71">
            <a:extLst>
              <a:ext uri="{FF2B5EF4-FFF2-40B4-BE49-F238E27FC236}">
                <a16:creationId xmlns:a16="http://schemas.microsoft.com/office/drawing/2014/main" id="{F2AB8EA4-57EA-DACE-0F43-0FAA39D3B079}"/>
              </a:ext>
            </a:extLst>
          </xdr:cNvPr>
          <xdr:cNvSpPr/>
        </xdr:nvSpPr>
        <xdr:spPr>
          <a:xfrm>
            <a:off x="4684501" y="1603313"/>
            <a:ext cx="2068338" cy="722376"/>
          </a:xfrm>
          <a:prstGeom prst="roundRect">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Oval 41">
            <a:extLst>
              <a:ext uri="{FF2B5EF4-FFF2-40B4-BE49-F238E27FC236}">
                <a16:creationId xmlns:a16="http://schemas.microsoft.com/office/drawing/2014/main" id="{282CEAFC-D624-3F90-75B1-4DCA4BC9CD78}"/>
              </a:ext>
            </a:extLst>
          </xdr:cNvPr>
          <xdr:cNvSpPr/>
        </xdr:nvSpPr>
        <xdr:spPr>
          <a:xfrm>
            <a:off x="4720416" y="1692232"/>
            <a:ext cx="535228"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F$12">
        <xdr:nvSpPr>
          <xdr:cNvPr id="77" name="TextBox 76">
            <a:extLst>
              <a:ext uri="{FF2B5EF4-FFF2-40B4-BE49-F238E27FC236}">
                <a16:creationId xmlns:a16="http://schemas.microsoft.com/office/drawing/2014/main" id="{7E998918-7430-4870-961B-6ACCFE480D8D}"/>
              </a:ext>
            </a:extLst>
          </xdr:cNvPr>
          <xdr:cNvSpPr txBox="1"/>
        </xdr:nvSpPr>
        <xdr:spPr>
          <a:xfrm>
            <a:off x="5242311" y="1734344"/>
            <a:ext cx="1481648" cy="546100"/>
          </a:xfrm>
          <a:prstGeom prst="round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u="none" strike="noStrike">
                <a:solidFill>
                  <a:schemeClr val="bg1"/>
                </a:solidFill>
                <a:latin typeface="Calibri"/>
                <a:ea typeface="Calibri"/>
                <a:cs typeface="Calibri"/>
              </a:rPr>
              <a:t>Member Revenue</a:t>
            </a:r>
          </a:p>
          <a:p>
            <a:pPr algn="ctr"/>
            <a:fld id="{FF1ED260-9405-4155-8C1F-2EA5F5FD507E}" type="TxLink">
              <a:rPr lang="en-US" sz="1300" b="1" i="0" u="none" strike="noStrike">
                <a:solidFill>
                  <a:schemeClr val="bg1"/>
                </a:solidFill>
                <a:latin typeface="Calibri"/>
                <a:ea typeface="Calibri"/>
                <a:cs typeface="Calibri"/>
              </a:rPr>
              <a:pPr algn="ctr"/>
              <a:t>53.31%</a:t>
            </a:fld>
            <a:endParaRPr lang="en-US" sz="1300" b="1">
              <a:solidFill>
                <a:schemeClr val="bg1"/>
              </a:solidFill>
            </a:endParaRPr>
          </a:p>
        </xdr:txBody>
      </xdr:sp>
      <xdr:pic>
        <xdr:nvPicPr>
          <xdr:cNvPr id="105" name="Graphic 104" descr="Users with solid fill">
            <a:extLst>
              <a:ext uri="{FF2B5EF4-FFF2-40B4-BE49-F238E27FC236}">
                <a16:creationId xmlns:a16="http://schemas.microsoft.com/office/drawing/2014/main" id="{7DCEAC65-EE3A-34CC-791C-7140DFA85F74}"/>
              </a:ext>
            </a:extLst>
          </xdr:cNvPr>
          <xdr:cNvPicPr>
            <a:picLocks noChangeAspect="1"/>
          </xdr:cNvPicPr>
        </xdr:nvPicPr>
        <xdr:blipFill>
          <a:blip xmlns:r="http://schemas.openxmlformats.org/officeDocument/2006/relationships" r:embed="rId17">
            <a:duotone>
              <a:schemeClr val="accent5">
                <a:shade val="45000"/>
                <a:satMod val="135000"/>
              </a:schemeClr>
              <a:prstClr val="white"/>
            </a:duotone>
            <a:extLst>
              <a:ext uri="{96DAC541-7B7A-43D3-8B79-37D633B846F1}">
                <asvg:svgBlip xmlns:asvg="http://schemas.microsoft.com/office/drawing/2016/SVG/main" r:embed="rId18"/>
              </a:ext>
            </a:extLst>
          </a:blip>
          <a:stretch>
            <a:fillRect/>
          </a:stretch>
        </xdr:blipFill>
        <xdr:spPr>
          <a:xfrm>
            <a:off x="4744999" y="1731268"/>
            <a:ext cx="496271" cy="496271"/>
          </a:xfrm>
          <a:prstGeom prst="rect">
            <a:avLst/>
          </a:prstGeom>
        </xdr:spPr>
      </xdr:pic>
    </xdr:grpSp>
    <xdr:clientData/>
  </xdr:twoCellAnchor>
  <xdr:twoCellAnchor>
    <xdr:from>
      <xdr:col>13</xdr:col>
      <xdr:colOff>332613</xdr:colOff>
      <xdr:row>8</xdr:row>
      <xdr:rowOff>171348</xdr:rowOff>
    </xdr:from>
    <xdr:to>
      <xdr:col>16</xdr:col>
      <xdr:colOff>584872</xdr:colOff>
      <xdr:row>12</xdr:row>
      <xdr:rowOff>168010</xdr:rowOff>
    </xdr:to>
    <xdr:grpSp>
      <xdr:nvGrpSpPr>
        <xdr:cNvPr id="28" name="Group 27">
          <a:extLst>
            <a:ext uri="{FF2B5EF4-FFF2-40B4-BE49-F238E27FC236}">
              <a16:creationId xmlns:a16="http://schemas.microsoft.com/office/drawing/2014/main" id="{F1E6F869-3900-9576-DFFA-7C5DF6350279}"/>
            </a:ext>
          </a:extLst>
        </xdr:cNvPr>
        <xdr:cNvGrpSpPr/>
      </xdr:nvGrpSpPr>
      <xdr:grpSpPr>
        <a:xfrm>
          <a:off x="8236336" y="1684539"/>
          <a:ext cx="2076196" cy="753258"/>
          <a:chOff x="6833810" y="1612698"/>
          <a:chExt cx="2066544" cy="722376"/>
        </a:xfrm>
      </xdr:grpSpPr>
      <xdr:sp macro="" textlink="">
        <xdr:nvSpPr>
          <xdr:cNvPr id="96" name="Rectangle: Rounded Corners 95">
            <a:extLst>
              <a:ext uri="{FF2B5EF4-FFF2-40B4-BE49-F238E27FC236}">
                <a16:creationId xmlns:a16="http://schemas.microsoft.com/office/drawing/2014/main" id="{669C4CEC-2F65-DEBB-39AA-B7EBF4B8E702}"/>
              </a:ext>
            </a:extLst>
          </xdr:cNvPr>
          <xdr:cNvSpPr/>
        </xdr:nvSpPr>
        <xdr:spPr>
          <a:xfrm>
            <a:off x="6833810" y="1612698"/>
            <a:ext cx="2066544" cy="722376"/>
          </a:xfrm>
          <a:prstGeom prst="roundRect">
            <a:avLst/>
          </a:prstGeom>
          <a:solidFill>
            <a:srgbClr val="1E1B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30">
        <xdr:nvSpPr>
          <xdr:cNvPr id="98" name="TextBox 97">
            <a:extLst>
              <a:ext uri="{FF2B5EF4-FFF2-40B4-BE49-F238E27FC236}">
                <a16:creationId xmlns:a16="http://schemas.microsoft.com/office/drawing/2014/main" id="{01D9C8E1-9425-4270-BAC7-B42390EF8AD3}"/>
              </a:ext>
            </a:extLst>
          </xdr:cNvPr>
          <xdr:cNvSpPr txBox="1"/>
        </xdr:nvSpPr>
        <xdr:spPr>
          <a:xfrm>
            <a:off x="7478890" y="1642936"/>
            <a:ext cx="1390672" cy="635000"/>
          </a:xfrm>
          <a:prstGeom prst="rect">
            <a:avLst/>
          </a:prstGeom>
          <a:solidFill>
            <a:srgbClr val="1E1B4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i="0" u="none" strike="noStrike">
                <a:solidFill>
                  <a:schemeClr val="bg1"/>
                </a:solidFill>
                <a:latin typeface="Calibri"/>
                <a:ea typeface="Calibri"/>
                <a:cs typeface="Calibri"/>
              </a:rPr>
              <a:t>Top</a:t>
            </a:r>
            <a:r>
              <a:rPr lang="en-US" sz="1300" b="1" i="0" u="none" strike="noStrike" baseline="0">
                <a:solidFill>
                  <a:schemeClr val="bg1"/>
                </a:solidFill>
                <a:latin typeface="Calibri"/>
                <a:ea typeface="Calibri"/>
                <a:cs typeface="Calibri"/>
              </a:rPr>
              <a:t> Branch Share</a:t>
            </a:r>
            <a:endParaRPr lang="en-US" sz="1300" b="1" i="0" u="none" strike="noStrike">
              <a:solidFill>
                <a:schemeClr val="bg1"/>
              </a:solidFill>
              <a:latin typeface="Calibri"/>
              <a:ea typeface="Calibri"/>
              <a:cs typeface="Calibri"/>
            </a:endParaRPr>
          </a:p>
          <a:p>
            <a:pPr algn="ctr"/>
            <a:fld id="{810F9081-CA49-4320-A4FB-CB333D4F7524}" type="TxLink">
              <a:rPr lang="en-US" sz="1300" b="1" i="0" u="none" strike="noStrike">
                <a:solidFill>
                  <a:schemeClr val="bg1"/>
                </a:solidFill>
                <a:latin typeface="Calibri"/>
                <a:ea typeface="Calibri"/>
                <a:cs typeface="Calibri"/>
              </a:rPr>
              <a:pPr algn="ctr"/>
              <a:t>36%</a:t>
            </a:fld>
            <a:endParaRPr lang="en-US" sz="1300" b="1">
              <a:solidFill>
                <a:schemeClr val="bg1"/>
              </a:solidFill>
            </a:endParaRPr>
          </a:p>
        </xdr:txBody>
      </xdr:sp>
      <xdr:sp macro="" textlink="">
        <xdr:nvSpPr>
          <xdr:cNvPr id="99" name="Oval 98">
            <a:extLst>
              <a:ext uri="{FF2B5EF4-FFF2-40B4-BE49-F238E27FC236}">
                <a16:creationId xmlns:a16="http://schemas.microsoft.com/office/drawing/2014/main" id="{0D793167-9E8F-33C3-EBF6-5C63967F57D0}"/>
              </a:ext>
            </a:extLst>
          </xdr:cNvPr>
          <xdr:cNvSpPr/>
        </xdr:nvSpPr>
        <xdr:spPr>
          <a:xfrm>
            <a:off x="6884206" y="1673174"/>
            <a:ext cx="512064" cy="576072"/>
          </a:xfrm>
          <a:prstGeom prst="ellipse">
            <a:avLst/>
          </a:prstGeom>
          <a:solidFill>
            <a:srgbClr val="0EA6E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7" name="Graphic 106" descr="Building with solid fill">
            <a:extLst>
              <a:ext uri="{FF2B5EF4-FFF2-40B4-BE49-F238E27FC236}">
                <a16:creationId xmlns:a16="http://schemas.microsoft.com/office/drawing/2014/main" id="{F6109BFE-534A-7289-28F9-605AB8A728B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954763" y="1784048"/>
            <a:ext cx="352778" cy="352778"/>
          </a:xfrm>
          <a:prstGeom prst="rect">
            <a:avLst/>
          </a:prstGeom>
        </xdr:spPr>
      </xdr:pic>
    </xdr:grpSp>
    <xdr:clientData/>
  </xdr:twoCellAnchor>
  <xdr:twoCellAnchor>
    <xdr:from>
      <xdr:col>18</xdr:col>
      <xdr:colOff>231824</xdr:colOff>
      <xdr:row>27</xdr:row>
      <xdr:rowOff>27022</xdr:rowOff>
    </xdr:from>
    <xdr:to>
      <xdr:col>21</xdr:col>
      <xdr:colOff>553935</xdr:colOff>
      <xdr:row>31</xdr:row>
      <xdr:rowOff>151190</xdr:rowOff>
    </xdr:to>
    <xdr:sp macro="" textlink="">
      <xdr:nvSpPr>
        <xdr:cNvPr id="5" name="TextBox 4">
          <a:extLst>
            <a:ext uri="{FF2B5EF4-FFF2-40B4-BE49-F238E27FC236}">
              <a16:creationId xmlns:a16="http://schemas.microsoft.com/office/drawing/2014/main" id="{C197FAA9-1DC7-E6F2-3185-EFB7A1F6B2DD}"/>
            </a:ext>
          </a:extLst>
        </xdr:cNvPr>
        <xdr:cNvSpPr txBox="1"/>
      </xdr:nvSpPr>
      <xdr:spPr>
        <a:xfrm>
          <a:off x="11175441" y="5134043"/>
          <a:ext cx="2146047" cy="880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Outlier Transactions: 15</a:t>
          </a:r>
          <a:br>
            <a:rPr lang="en-US" sz="1400"/>
          </a:br>
          <a:r>
            <a:rPr lang="en-US" sz="1400"/>
            <a:t>Outlier </a:t>
          </a:r>
          <a:r>
            <a:rPr lang="en-US" sz="1400">
              <a:solidFill>
                <a:srgbClr val="1E1B4A"/>
              </a:solidFill>
            </a:rPr>
            <a:t>Rate</a:t>
          </a:r>
          <a:r>
            <a:rPr lang="en-US" sz="1400"/>
            <a:t>: 1.5%</a:t>
          </a:r>
          <a:br>
            <a:rPr lang="en-US" sz="1400"/>
          </a:br>
          <a:r>
            <a:rPr lang="en-US" sz="1400"/>
            <a:t>Revenue Contribution: 5%</a:t>
          </a:r>
        </a:p>
      </xdr:txBody>
    </xdr:sp>
    <xdr:clientData/>
  </xdr:twoCellAnchor>
  <xdr:twoCellAnchor editAs="oneCell">
    <xdr:from>
      <xdr:col>0</xdr:col>
      <xdr:colOff>262061</xdr:colOff>
      <xdr:row>0</xdr:row>
      <xdr:rowOff>158882</xdr:rowOff>
    </xdr:from>
    <xdr:to>
      <xdr:col>3</xdr:col>
      <xdr:colOff>173199</xdr:colOff>
      <xdr:row>16</xdr:row>
      <xdr:rowOff>27018</xdr:rowOff>
    </xdr:to>
    <mc:AlternateContent xmlns:mc="http://schemas.openxmlformats.org/markup-compatibility/2006" xmlns:a14="http://schemas.microsoft.com/office/drawing/2010/main">
      <mc:Choice Requires="a14">
        <xdr:graphicFrame macro="">
          <xdr:nvGraphicFramePr>
            <xdr:cNvPr id="40" name="Product_Name">
              <a:extLst>
                <a:ext uri="{FF2B5EF4-FFF2-40B4-BE49-F238E27FC236}">
                  <a16:creationId xmlns:a16="http://schemas.microsoft.com/office/drawing/2014/main" id="{6204219F-35A8-4CA7-883F-E355BE5DC42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62061" y="158882"/>
              <a:ext cx="1735074" cy="2894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196942</xdr:colOff>
      <xdr:row>27</xdr:row>
      <xdr:rowOff>4578</xdr:rowOff>
    </xdr:from>
    <xdr:to>
      <xdr:col>3</xdr:col>
      <xdr:colOff>108080</xdr:colOff>
      <xdr:row>34</xdr:row>
      <xdr:rowOff>20660</xdr:rowOff>
    </xdr:to>
    <mc:AlternateContent xmlns:mc="http://schemas.openxmlformats.org/markup-compatibility/2006" xmlns:a14="http://schemas.microsoft.com/office/drawing/2010/main">
      <mc:Choice Requires="a14">
        <xdr:graphicFrame macro="">
          <xdr:nvGraphicFramePr>
            <xdr:cNvPr id="48" name="Gender">
              <a:extLst>
                <a:ext uri="{FF2B5EF4-FFF2-40B4-BE49-F238E27FC236}">
                  <a16:creationId xmlns:a16="http://schemas.microsoft.com/office/drawing/2014/main" id="{FA6F2D05-C5F2-4545-A616-0EEBA31749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6942" y="5111599"/>
              <a:ext cx="1735074" cy="134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211263</xdr:colOff>
      <xdr:row>16</xdr:row>
      <xdr:rowOff>87407</xdr:rowOff>
    </xdr:from>
    <xdr:to>
      <xdr:col>3</xdr:col>
      <xdr:colOff>122401</xdr:colOff>
      <xdr:row>26</xdr:row>
      <xdr:rowOff>34174</xdr:rowOff>
    </xdr:to>
    <mc:AlternateContent xmlns:mc="http://schemas.openxmlformats.org/markup-compatibility/2006" xmlns:a14="http://schemas.microsoft.com/office/drawing/2010/main">
      <mc:Choice Requires="a14">
        <xdr:graphicFrame macro="">
          <xdr:nvGraphicFramePr>
            <xdr:cNvPr id="53" name="Customer_Type">
              <a:extLst>
                <a:ext uri="{FF2B5EF4-FFF2-40B4-BE49-F238E27FC236}">
                  <a16:creationId xmlns:a16="http://schemas.microsoft.com/office/drawing/2014/main" id="{141CB278-D6EB-4337-AFB9-D42164CF5702}"/>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11263" y="3113790"/>
              <a:ext cx="1735074" cy="183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37</xdr:row>
      <xdr:rowOff>115235</xdr:rowOff>
    </xdr:from>
    <xdr:to>
      <xdr:col>3</xdr:col>
      <xdr:colOff>96304</xdr:colOff>
      <xdr:row>46</xdr:row>
      <xdr:rowOff>65165</xdr:rowOff>
    </xdr:to>
    <mc:AlternateContent xmlns:mc="http://schemas.openxmlformats.org/markup-compatibility/2006" xmlns:a14="http://schemas.microsoft.com/office/drawing/2010/main">
      <mc:Choice Requires="a14">
        <xdr:graphicFrame macro="">
          <xdr:nvGraphicFramePr>
            <xdr:cNvPr id="67" name="Branch 1">
              <a:extLst>
                <a:ext uri="{FF2B5EF4-FFF2-40B4-BE49-F238E27FC236}">
                  <a16:creationId xmlns:a16="http://schemas.microsoft.com/office/drawing/2014/main" id="{6951F40F-25F4-4E24-B370-3649B2484B24}"/>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82880" y="7113746"/>
              <a:ext cx="1737360" cy="1652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365760</xdr:colOff>
      <xdr:row>0</xdr:row>
      <xdr:rowOff>83820</xdr:rowOff>
    </xdr:from>
    <xdr:to>
      <xdr:col>18</xdr:col>
      <xdr:colOff>434340</xdr:colOff>
      <xdr:row>60</xdr:row>
      <xdr:rowOff>53340</xdr:rowOff>
    </xdr:to>
    <xdr:sp macro="" textlink="">
      <xdr:nvSpPr>
        <xdr:cNvPr id="2" name="TextBox 1">
          <a:extLst>
            <a:ext uri="{FF2B5EF4-FFF2-40B4-BE49-F238E27FC236}">
              <a16:creationId xmlns:a16="http://schemas.microsoft.com/office/drawing/2014/main" id="{93662AE7-D3B3-C6CE-41B9-21C9831F2795}"/>
            </a:ext>
          </a:extLst>
        </xdr:cNvPr>
        <xdr:cNvSpPr txBox="1"/>
      </xdr:nvSpPr>
      <xdr:spPr>
        <a:xfrm>
          <a:off x="975360" y="83820"/>
          <a:ext cx="10431780" cy="10942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Let's</a:t>
          </a:r>
          <a:r>
            <a:rPr lang="en-US" sz="2000" b="1" baseline="0"/>
            <a:t> Analyze!</a:t>
          </a:r>
          <a:endParaRPr lang="en-US" sz="2000" b="1"/>
        </a:p>
        <a:p>
          <a:pPr algn="ctr"/>
          <a:endParaRPr lang="en-US" sz="2000" b="1"/>
        </a:p>
        <a:p>
          <a:r>
            <a:rPr lang="en-US" sz="1400" b="1"/>
            <a:t>Data Collection</a:t>
          </a:r>
          <a:endParaRPr lang="en-US" sz="1400"/>
        </a:p>
        <a:p>
          <a:pPr lvl="1"/>
          <a:r>
            <a:rPr lang="en-US" sz="1400"/>
            <a:t>&gt;&gt; Data came from</a:t>
          </a:r>
          <a:r>
            <a:rPr lang="en-US" sz="1400" baseline="0"/>
            <a:t> Kaggle</a:t>
          </a:r>
          <a:r>
            <a:rPr lang="en-US" sz="1400"/>
            <a:t> (Excel format).</a:t>
          </a:r>
        </a:p>
        <a:p>
          <a:pPr lvl="1"/>
          <a:endParaRPr lang="en-US" sz="1400"/>
        </a:p>
        <a:p>
          <a:r>
            <a:rPr lang="en-US" sz="1400" b="1"/>
            <a:t>Data Cleaning</a:t>
          </a:r>
          <a:endParaRPr lang="en-US" sz="1400"/>
        </a:p>
        <a:p>
          <a:pPr lvl="1"/>
          <a:r>
            <a:rPr lang="en-US" sz="1400"/>
            <a:t>&gt;&gt; Check for missing values</a:t>
          </a:r>
          <a:r>
            <a:rPr lang="en-US" sz="1400" baseline="0"/>
            <a:t> (blanks).</a:t>
          </a:r>
          <a:endParaRPr lang="en-US" sz="1400"/>
        </a:p>
        <a:p>
          <a:pPr lvl="1"/>
          <a:r>
            <a:rPr lang="en-US" sz="1400"/>
            <a:t>&gt;&gt; Check data types → Correct (unit_price, quantity, total_price are numeric).</a:t>
          </a:r>
        </a:p>
        <a:p>
          <a:pPr lvl="1"/>
          <a:r>
            <a:rPr lang="en-US" sz="1400"/>
            <a:t>&gt;&gt; Remove duplicates if any.</a:t>
          </a:r>
        </a:p>
        <a:p>
          <a:pPr lvl="1"/>
          <a:r>
            <a:rPr lang="en-US" sz="1400"/>
            <a:t>&gt;&gt; </a:t>
          </a:r>
          <a:r>
            <a:rPr lang="en-US" sz="1400" b="0">
              <a:solidFill>
                <a:schemeClr val="dk1"/>
              </a:solidFill>
              <a:effectLst/>
              <a:latin typeface="+mn-lt"/>
              <a:ea typeface="+mn-ea"/>
              <a:cs typeface="+mn-cs"/>
            </a:rPr>
            <a:t>Removing Unnecessary Data.</a:t>
          </a:r>
        </a:p>
        <a:p>
          <a:pPr lvl="1"/>
          <a:r>
            <a:rPr lang="en-US" sz="1400" b="0">
              <a:solidFill>
                <a:schemeClr val="dk1"/>
              </a:solidFill>
              <a:effectLst/>
              <a:latin typeface="+mn-lt"/>
              <a:ea typeface="+mn-ea"/>
              <a:cs typeface="+mn-cs"/>
            </a:rPr>
            <a:t>&gt;&gt; Study the variables well and correct where necessary</a:t>
          </a:r>
          <a:br>
            <a:rPr lang="en-US" sz="1400" b="0">
              <a:solidFill>
                <a:schemeClr val="dk1"/>
              </a:solidFill>
              <a:effectLst/>
              <a:latin typeface="+mn-lt"/>
              <a:ea typeface="+mn-ea"/>
              <a:cs typeface="+mn-cs"/>
            </a:rPr>
          </a:br>
          <a:r>
            <a:rPr lang="en-US" sz="1400" b="0">
              <a:solidFill>
                <a:schemeClr val="dk1"/>
              </a:solidFill>
              <a:effectLst/>
              <a:latin typeface="+mn-lt"/>
              <a:ea typeface="+mn-ea"/>
              <a:cs typeface="+mn-cs"/>
            </a:rPr>
            <a:t>	*</a:t>
          </a:r>
          <a:r>
            <a:rPr lang="en-US" sz="1400" b="0" baseline="0">
              <a:solidFill>
                <a:schemeClr val="dk1"/>
              </a:solidFill>
              <a:effectLst/>
              <a:latin typeface="+mn-lt"/>
              <a:ea typeface="+mn-ea"/>
              <a:cs typeface="+mn-cs"/>
            </a:rPr>
            <a:t> Chicago should be Branch C</a:t>
          </a:r>
        </a:p>
        <a:p>
          <a:pPr lvl="1"/>
          <a:r>
            <a:rPr lang="en-US" sz="1400" b="0" baseline="0">
              <a:solidFill>
                <a:schemeClr val="dk1"/>
              </a:solidFill>
              <a:effectLst/>
              <a:latin typeface="+mn-lt"/>
              <a:ea typeface="+mn-ea"/>
              <a:cs typeface="+mn-cs"/>
            </a:rPr>
            <a:t>	* The Product name and Category columns should be logical</a:t>
          </a:r>
        </a:p>
        <a:p>
          <a:pPr lvl="1"/>
          <a:r>
            <a:rPr lang="en-US" sz="1400" b="0" baseline="0">
              <a:solidFill>
                <a:schemeClr val="dk1"/>
              </a:solidFill>
              <a:effectLst/>
              <a:latin typeface="+mn-lt"/>
              <a:ea typeface="+mn-ea"/>
              <a:cs typeface="+mn-cs"/>
            </a:rPr>
            <a:t>	</a:t>
          </a:r>
          <a:endParaRPr lang="en-US" sz="1400" b="0"/>
        </a:p>
        <a:p>
          <a:pPr lvl="1"/>
          <a:endParaRPr lang="en-US" sz="1400"/>
        </a:p>
        <a:p>
          <a:r>
            <a:rPr lang="en-US" sz="1400" b="1"/>
            <a:t>Data Exploration: </a:t>
          </a:r>
          <a:r>
            <a:rPr lang="en-US" sz="1400" b="1" baseline="0"/>
            <a:t>	</a:t>
          </a:r>
          <a:r>
            <a:rPr lang="en-US" sz="1400"/>
            <a:t>		</a:t>
          </a:r>
          <a:endParaRPr lang="en-US" sz="1400">
            <a:effectLst/>
          </a:endParaRPr>
        </a:p>
        <a:p>
          <a:r>
            <a:rPr lang="en-US" sz="1400" b="1" baseline="0">
              <a:solidFill>
                <a:schemeClr val="dk1"/>
              </a:solidFill>
              <a:effectLst/>
              <a:latin typeface="+mn-lt"/>
              <a:ea typeface="+mn-ea"/>
              <a:cs typeface="+mn-cs"/>
            </a:rPr>
            <a:t>	&gt;&gt; </a:t>
          </a:r>
          <a:r>
            <a:rPr lang="en-US" sz="1400">
              <a:solidFill>
                <a:schemeClr val="dk1"/>
              </a:solidFill>
              <a:effectLst/>
              <a:latin typeface="+mn-lt"/>
              <a:ea typeface="+mn-ea"/>
              <a:cs typeface="+mn-cs"/>
            </a:rPr>
            <a:t>Mean</a:t>
          </a:r>
          <a:r>
            <a:rPr lang="en-US" sz="1400" baseline="0">
              <a:solidFill>
                <a:schemeClr val="dk1"/>
              </a:solidFill>
              <a:effectLst/>
              <a:latin typeface="+mn-lt"/>
              <a:ea typeface="+mn-ea"/>
              <a:cs typeface="+mn-cs"/>
            </a:rPr>
            <a:t> and Total</a:t>
          </a:r>
          <a:r>
            <a:rPr lang="en-US" sz="1400">
              <a:solidFill>
                <a:schemeClr val="dk1"/>
              </a:solidFill>
              <a:effectLst/>
              <a:latin typeface="+mn-lt"/>
              <a:ea typeface="+mn-ea"/>
              <a:cs typeface="+mn-cs"/>
            </a:rPr>
            <a:t> of total_price.</a:t>
          </a:r>
          <a:endParaRPr lang="en-US" sz="1400">
            <a:effectLst/>
          </a:endParaRPr>
        </a:p>
        <a:p>
          <a:r>
            <a:rPr lang="en-US" sz="1400">
              <a:solidFill>
                <a:schemeClr val="dk1"/>
              </a:solidFill>
              <a:effectLst/>
              <a:latin typeface="+mn-lt"/>
              <a:ea typeface="+mn-ea"/>
              <a:cs typeface="+mn-cs"/>
            </a:rPr>
            <a:t>	&gt;&gt; Distribution of sales by category.</a:t>
          </a:r>
          <a:endParaRPr lang="en-US" sz="1400">
            <a:effectLst/>
          </a:endParaRPr>
        </a:p>
        <a:p>
          <a:endParaRPr lang="en-US" sz="1400"/>
        </a:p>
        <a:p>
          <a:pPr lvl="1"/>
          <a:r>
            <a:rPr lang="en-US" sz="1400"/>
            <a:t>	&gt;&gt; Average sales, quantities, prices</a:t>
          </a:r>
          <a:r>
            <a:rPr lang="en-US" sz="1400" baseline="0"/>
            <a:t>.</a:t>
          </a:r>
          <a:endParaRPr lang="en-US" sz="1400"/>
        </a:p>
        <a:p>
          <a:pPr lvl="1"/>
          <a:r>
            <a:rPr lang="en-US" sz="1400"/>
            <a:t>	&gt;&gt; Branch-level performance (A vs B vs C).</a:t>
          </a:r>
        </a:p>
        <a:p>
          <a:pPr lvl="1"/>
          <a:r>
            <a:rPr lang="en-US" sz="1400"/>
            <a:t>	&gt;&gt; Gender breakdown of customers.</a:t>
          </a:r>
        </a:p>
        <a:p>
          <a:pPr lvl="1"/>
          <a:r>
            <a:rPr lang="en-US" sz="1400"/>
            <a:t>	&gt;&gt; Popular product categories.</a:t>
          </a:r>
        </a:p>
        <a:p>
          <a:endParaRPr lang="en-US" sz="1400"/>
        </a:p>
        <a:p>
          <a:pPr lvl="1"/>
          <a:r>
            <a:rPr lang="en-US" sz="1400"/>
            <a:t>&gt;&gt; Compare Member vs Normal customer sales.</a:t>
          </a:r>
        </a:p>
        <a:p>
          <a:pPr lvl="1"/>
          <a:r>
            <a:rPr lang="en-US" sz="1400"/>
            <a:t>&gt;&gt; Did branch location affect sales?</a:t>
          </a:r>
        </a:p>
        <a:p>
          <a:pPr lvl="1"/>
          <a:r>
            <a:rPr lang="en-US" sz="1400"/>
            <a:t>&gt;&gt; Did gender preference differ across categories?</a:t>
          </a:r>
        </a:p>
        <a:p>
          <a:pPr lvl="1"/>
          <a:endParaRPr lang="en-US" sz="1400"/>
        </a:p>
        <a:p>
          <a:pPr lvl="1"/>
          <a:r>
            <a:rPr lang="en-US" sz="1400"/>
            <a:t>Use</a:t>
          </a:r>
          <a:r>
            <a:rPr lang="en-US" sz="1400" baseline="0"/>
            <a:t> Correlation to c</a:t>
          </a:r>
          <a:r>
            <a:rPr lang="en-US" sz="1400"/>
            <a:t>heck if higher quantities drive more sales.</a:t>
          </a:r>
        </a:p>
        <a:p>
          <a:pPr lvl="1"/>
          <a:r>
            <a:rPr lang="en-US" sz="1400"/>
            <a:t>Use Correlation to check if total</a:t>
          </a:r>
          <a:r>
            <a:rPr lang="en-US" sz="1400" baseline="0"/>
            <a:t> price leads to more reward.</a:t>
          </a:r>
          <a:endParaRPr lang="en-US" sz="1400"/>
        </a:p>
        <a:p>
          <a:pPr lvl="1"/>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&gt;&gt; Beyond the business questions, find</a:t>
          </a:r>
          <a:r>
            <a:rPr lang="en-US" sz="1400" baseline="0"/>
            <a:t> other patterns by exploring more.</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a:t>&gt;&gt; </a:t>
          </a:r>
          <a:r>
            <a:rPr lang="en-US" sz="1400">
              <a:solidFill>
                <a:schemeClr val="dk1"/>
              </a:solidFill>
              <a:effectLst/>
              <a:latin typeface="+mn-lt"/>
              <a:ea typeface="+mn-ea"/>
              <a:cs typeface="+mn-cs"/>
            </a:rPr>
            <a:t>Based</a:t>
          </a:r>
          <a:r>
            <a:rPr lang="en-US" sz="1400" baseline="0">
              <a:solidFill>
                <a:schemeClr val="dk1"/>
              </a:solidFill>
              <a:effectLst/>
              <a:latin typeface="+mn-lt"/>
              <a:ea typeface="+mn-ea"/>
              <a:cs typeface="+mn-cs"/>
            </a:rPr>
            <a:t> on all your insights and discoveries, what are your recommendations?</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solidFill>
                <a:schemeClr val="dk1"/>
              </a:solidFill>
              <a:effectLst/>
              <a:latin typeface="+mn-lt"/>
              <a:ea typeface="+mn-ea"/>
              <a:cs typeface="+mn-cs"/>
            </a:rPr>
            <a:t>Create a dashboard and presentation slides to be communicated to your audience.</a:t>
          </a:r>
          <a:endParaRPr lang="en-US" sz="1400">
            <a:effectLst/>
          </a:endParaRPr>
        </a:p>
        <a:p>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 refreshedDate="46184.945977199073" createdVersion="8" refreshedVersion="8" minRefreshableVersion="3" recordCount="1000" xr:uid="{E32A2B27-1F5F-41B7-8673-0C61A92FC51E}">
  <cacheSource type="worksheet">
    <worksheetSource ref="A1:L1001" sheet="Dataset"/>
  </cacheSource>
  <cacheFields count="12">
    <cacheField name="Sale_Id" numFmtId="0">
      <sharedItems containsSemiMixedTypes="0" containsString="0" containsNumber="1" containsInteger="1" minValue="1" maxValue="1000"/>
    </cacheField>
    <cacheField name="Branch" numFmtId="49">
      <sharedItems count="3">
        <s v="C"/>
        <s v="B"/>
        <s v="A"/>
      </sharedItems>
    </cacheField>
    <cacheField name="City" numFmtId="49">
      <sharedItems/>
    </cacheField>
    <cacheField name="Customer_Type" numFmtId="49">
      <sharedItems count="2">
        <s v="Member"/>
        <s v="Normal"/>
      </sharedItems>
    </cacheField>
    <cacheField name="Gender" numFmtId="49">
      <sharedItems count="2">
        <s v="Male"/>
        <s v="Female"/>
      </sharedItems>
    </cacheField>
    <cacheField name="Product_Name" numFmtId="0">
      <sharedItems count="5">
        <s v="Shampoo"/>
        <s v="Notebook"/>
        <s v="Apple"/>
        <s v="Detergent"/>
        <s v="Orange Juice"/>
      </sharedItems>
    </cacheField>
    <cacheField name="Product_Category" numFmtId="0">
      <sharedItems count="5">
        <s v="Personal Care"/>
        <s v="Stationery"/>
        <s v="Fruits"/>
        <s v="Household"/>
        <s v="Beverages"/>
      </sharedItems>
    </cacheField>
    <cacheField name="Unit_Price" numFmtId="167">
      <sharedItems containsSemiMixedTypes="0" containsString="0" containsNumber="1" minValue="1.02" maxValue="20.98"/>
    </cacheField>
    <cacheField name="Quantity" numFmtId="2">
      <sharedItems containsSemiMixedTypes="0" containsString="0" containsNumber="1" containsInteger="1" minValue="1" maxValue="20"/>
    </cacheField>
    <cacheField name="Tax" numFmtId="167">
      <sharedItems containsSemiMixedTypes="0" containsString="0" containsNumber="1" minValue="0.08" maxValue="28.39"/>
    </cacheField>
    <cacheField name="Total_Price" numFmtId="167">
      <sharedItems containsSemiMixedTypes="0" containsString="0" containsNumber="1" minValue="1.21" maxValue="433.99"/>
    </cacheField>
    <cacheField name="Reward_Points" numFmtId="0">
      <sharedItems containsSemiMixedTypes="0" containsString="0" containsNumber="1" containsInteger="1" minValue="0" maxValue="43"/>
    </cacheField>
  </cacheFields>
  <extLst>
    <ext xmlns:x14="http://schemas.microsoft.com/office/spreadsheetml/2009/9/main" uri="{725AE2AE-9491-48be-B2B4-4EB974FC3084}">
      <x14:pivotCacheDefinition pivotCacheId="15712905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 refreshedDate="46186.792667013891" createdVersion="8" refreshedVersion="8" minRefreshableVersion="3" recordCount="1000" xr:uid="{5E5F977E-DD33-4B11-ABF0-01909CF39B88}">
  <cacheSource type="worksheet">
    <worksheetSource ref="A1:M1001" sheet="Dataset"/>
  </cacheSource>
  <cacheFields count="13">
    <cacheField name="Sale_Id" numFmtId="0">
      <sharedItems containsSemiMixedTypes="0" containsString="0" containsNumber="1" containsInteger="1" minValue="1" maxValue="1000"/>
    </cacheField>
    <cacheField name="Branch" numFmtId="49">
      <sharedItems/>
    </cacheField>
    <cacheField name="City" numFmtId="49">
      <sharedItems/>
    </cacheField>
    <cacheField name="Customer_Type" numFmtId="49">
      <sharedItems/>
    </cacheField>
    <cacheField name="Gender" numFmtId="49">
      <sharedItems/>
    </cacheField>
    <cacheField name="Product_Name" numFmtId="0">
      <sharedItems/>
    </cacheField>
    <cacheField name="Product_Category" numFmtId="0">
      <sharedItems/>
    </cacheField>
    <cacheField name="Unit_Price" numFmtId="167">
      <sharedItems containsSemiMixedTypes="0" containsString="0" containsNumber="1" minValue="1.02" maxValue="20.98"/>
    </cacheField>
    <cacheField name="Quantity" numFmtId="2">
      <sharedItems containsSemiMixedTypes="0" containsString="0" containsNumber="1" containsInteger="1" minValue="1" maxValue="20"/>
    </cacheField>
    <cacheField name="Tax" numFmtId="167">
      <sharedItems containsSemiMixedTypes="0" containsString="0" containsNumber="1" minValue="0.08" maxValue="28.39"/>
    </cacheField>
    <cacheField name="Total_Price" numFmtId="167">
      <sharedItems containsSemiMixedTypes="0" containsString="0" containsNumber="1" minValue="1.21" maxValue="433.99"/>
    </cacheField>
    <cacheField name="Reward_Points" numFmtId="0">
      <sharedItems containsSemiMixedTypes="0" containsString="0" containsNumber="1" containsInteger="1" minValue="0" maxValue="43"/>
    </cacheField>
    <cacheField name="Is_Outliers" numFmtId="0">
      <sharedItems count="2">
        <s v="Normal Transaction"/>
        <s v="Outlier (Extreme Spen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New York"/>
    <x v="0"/>
    <x v="0"/>
    <x v="0"/>
    <x v="0"/>
    <n v="5.5"/>
    <n v="3"/>
    <n v="1.1599999999999999"/>
    <n v="17.66"/>
    <n v="1"/>
  </r>
  <r>
    <n v="2"/>
    <x v="1"/>
    <s v="Los Angeles"/>
    <x v="1"/>
    <x v="1"/>
    <x v="1"/>
    <x v="1"/>
    <n v="2.75"/>
    <n v="10"/>
    <n v="1.93"/>
    <n v="29.43"/>
    <n v="0"/>
  </r>
  <r>
    <n v="3"/>
    <x v="0"/>
    <s v="New York"/>
    <x v="0"/>
    <x v="1"/>
    <x v="2"/>
    <x v="2"/>
    <n v="1.2"/>
    <n v="15"/>
    <n v="1.26"/>
    <n v="19.260000000000002"/>
    <n v="1"/>
  </r>
  <r>
    <n v="4"/>
    <x v="2"/>
    <s v="Chicago"/>
    <x v="1"/>
    <x v="0"/>
    <x v="3"/>
    <x v="3"/>
    <n v="7.8"/>
    <n v="5"/>
    <n v="2.73"/>
    <n v="41.73"/>
    <n v="0"/>
  </r>
  <r>
    <n v="5"/>
    <x v="1"/>
    <s v="Los Angeles"/>
    <x v="0"/>
    <x v="1"/>
    <x v="4"/>
    <x v="4"/>
    <n v="3.5"/>
    <n v="7"/>
    <n v="1.72"/>
    <n v="26.22"/>
    <n v="2"/>
  </r>
  <r>
    <n v="6"/>
    <x v="2"/>
    <s v="Chicago"/>
    <x v="1"/>
    <x v="0"/>
    <x v="0"/>
    <x v="0"/>
    <n v="11.24"/>
    <n v="9"/>
    <n v="7.08"/>
    <n v="108.24"/>
    <n v="0"/>
  </r>
  <r>
    <n v="7"/>
    <x v="2"/>
    <s v="Chicago"/>
    <x v="1"/>
    <x v="0"/>
    <x v="0"/>
    <x v="0"/>
    <n v="10.71"/>
    <n v="1"/>
    <n v="0.75"/>
    <n v="11.46"/>
    <n v="0"/>
  </r>
  <r>
    <n v="8"/>
    <x v="1"/>
    <s v="Los Angeles"/>
    <x v="1"/>
    <x v="1"/>
    <x v="0"/>
    <x v="0"/>
    <n v="18.23"/>
    <n v="9"/>
    <n v="11.48"/>
    <n v="175.55"/>
    <n v="0"/>
  </r>
  <r>
    <n v="9"/>
    <x v="2"/>
    <s v="Chicago"/>
    <x v="0"/>
    <x v="1"/>
    <x v="2"/>
    <x v="2"/>
    <n v="14.15"/>
    <n v="20"/>
    <n v="19.809999999999999"/>
    <n v="302.81"/>
    <n v="30"/>
  </r>
  <r>
    <n v="10"/>
    <x v="1"/>
    <s v="Los Angeles"/>
    <x v="0"/>
    <x v="0"/>
    <x v="0"/>
    <x v="0"/>
    <n v="18.420000000000002"/>
    <n v="19"/>
    <n v="24.5"/>
    <n v="374.48"/>
    <n v="37"/>
  </r>
  <r>
    <n v="11"/>
    <x v="2"/>
    <s v="Chicago"/>
    <x v="1"/>
    <x v="0"/>
    <x v="3"/>
    <x v="3"/>
    <n v="9.32"/>
    <n v="7"/>
    <n v="4.57"/>
    <n v="69.81"/>
    <n v="0"/>
  </r>
  <r>
    <n v="12"/>
    <x v="1"/>
    <s v="Los Angeles"/>
    <x v="0"/>
    <x v="0"/>
    <x v="4"/>
    <x v="4"/>
    <n v="6.89"/>
    <n v="12"/>
    <n v="5.79"/>
    <n v="88.47"/>
    <n v="8"/>
  </r>
  <r>
    <n v="13"/>
    <x v="0"/>
    <s v="New York"/>
    <x v="1"/>
    <x v="1"/>
    <x v="4"/>
    <x v="4"/>
    <n v="3.29"/>
    <n v="4"/>
    <n v="0.92"/>
    <n v="14.08"/>
    <n v="0"/>
  </r>
  <r>
    <n v="14"/>
    <x v="1"/>
    <s v="Los Angeles"/>
    <x v="0"/>
    <x v="1"/>
    <x v="2"/>
    <x v="2"/>
    <n v="8.81"/>
    <n v="5"/>
    <n v="3.08"/>
    <n v="47.13"/>
    <n v="4"/>
  </r>
  <r>
    <n v="15"/>
    <x v="1"/>
    <s v="Los Angeles"/>
    <x v="1"/>
    <x v="1"/>
    <x v="2"/>
    <x v="2"/>
    <n v="19.48"/>
    <n v="3"/>
    <n v="4.09"/>
    <n v="62.53"/>
    <n v="0"/>
  </r>
  <r>
    <n v="16"/>
    <x v="1"/>
    <s v="Los Angeles"/>
    <x v="1"/>
    <x v="0"/>
    <x v="1"/>
    <x v="1"/>
    <n v="5.55"/>
    <n v="8"/>
    <n v="3.11"/>
    <n v="47.51"/>
    <n v="0"/>
  </r>
  <r>
    <n v="17"/>
    <x v="1"/>
    <s v="Los Angeles"/>
    <x v="0"/>
    <x v="1"/>
    <x v="2"/>
    <x v="2"/>
    <n v="2.13"/>
    <n v="2"/>
    <n v="0.3"/>
    <n v="4.5599999999999996"/>
    <n v="0"/>
  </r>
  <r>
    <n v="18"/>
    <x v="1"/>
    <s v="Los Angeles"/>
    <x v="1"/>
    <x v="0"/>
    <x v="1"/>
    <x v="1"/>
    <n v="13.26"/>
    <n v="15"/>
    <n v="13.92"/>
    <n v="212.82"/>
    <n v="0"/>
  </r>
  <r>
    <n v="19"/>
    <x v="0"/>
    <s v="New York"/>
    <x v="0"/>
    <x v="0"/>
    <x v="2"/>
    <x v="2"/>
    <n v="19.59"/>
    <n v="2"/>
    <n v="2.74"/>
    <n v="41.92"/>
    <n v="4"/>
  </r>
  <r>
    <n v="20"/>
    <x v="2"/>
    <s v="Chicago"/>
    <x v="1"/>
    <x v="0"/>
    <x v="3"/>
    <x v="3"/>
    <n v="6.98"/>
    <n v="8"/>
    <n v="3.91"/>
    <n v="59.75"/>
    <n v="0"/>
  </r>
  <r>
    <n v="21"/>
    <x v="1"/>
    <s v="Los Angeles"/>
    <x v="1"/>
    <x v="1"/>
    <x v="0"/>
    <x v="0"/>
    <n v="4.3600000000000003"/>
    <n v="11"/>
    <n v="3.36"/>
    <n v="51.32"/>
    <n v="0"/>
  </r>
  <r>
    <n v="22"/>
    <x v="1"/>
    <s v="Los Angeles"/>
    <x v="1"/>
    <x v="0"/>
    <x v="4"/>
    <x v="4"/>
    <n v="6.8"/>
    <n v="1"/>
    <n v="0.48"/>
    <n v="7.28"/>
    <n v="0"/>
  </r>
  <r>
    <n v="23"/>
    <x v="0"/>
    <s v="New York"/>
    <x v="0"/>
    <x v="1"/>
    <x v="0"/>
    <x v="0"/>
    <n v="1.95"/>
    <n v="16"/>
    <n v="2.1800000000000002"/>
    <n v="33.380000000000003"/>
    <n v="3"/>
  </r>
  <r>
    <n v="24"/>
    <x v="2"/>
    <s v="Chicago"/>
    <x v="1"/>
    <x v="0"/>
    <x v="2"/>
    <x v="2"/>
    <n v="19.05"/>
    <n v="2"/>
    <n v="2.67"/>
    <n v="40.770000000000003"/>
    <n v="0"/>
  </r>
  <r>
    <n v="25"/>
    <x v="1"/>
    <s v="Los Angeles"/>
    <x v="0"/>
    <x v="0"/>
    <x v="3"/>
    <x v="3"/>
    <n v="11.33"/>
    <n v="18"/>
    <n v="14.28"/>
    <n v="218.22"/>
    <n v="21"/>
  </r>
  <r>
    <n v="26"/>
    <x v="1"/>
    <s v="Los Angeles"/>
    <x v="1"/>
    <x v="0"/>
    <x v="1"/>
    <x v="1"/>
    <n v="13.94"/>
    <n v="16"/>
    <n v="15.61"/>
    <n v="238.65"/>
    <n v="0"/>
  </r>
  <r>
    <n v="27"/>
    <x v="0"/>
    <s v="New York"/>
    <x v="0"/>
    <x v="0"/>
    <x v="3"/>
    <x v="3"/>
    <n v="9.5500000000000007"/>
    <n v="2"/>
    <n v="1.34"/>
    <n v="20.440000000000001"/>
    <n v="2"/>
  </r>
  <r>
    <n v="28"/>
    <x v="0"/>
    <s v="New York"/>
    <x v="0"/>
    <x v="1"/>
    <x v="3"/>
    <x v="3"/>
    <n v="16.46"/>
    <n v="17"/>
    <n v="19.59"/>
    <n v="299.41000000000003"/>
    <n v="29"/>
  </r>
  <r>
    <n v="29"/>
    <x v="1"/>
    <s v="Los Angeles"/>
    <x v="0"/>
    <x v="1"/>
    <x v="0"/>
    <x v="0"/>
    <n v="12.3"/>
    <n v="17"/>
    <n v="14.64"/>
    <n v="223.74"/>
    <n v="22"/>
  </r>
  <r>
    <n v="30"/>
    <x v="2"/>
    <s v="Chicago"/>
    <x v="0"/>
    <x v="0"/>
    <x v="4"/>
    <x v="4"/>
    <n v="12.37"/>
    <n v="15"/>
    <n v="12.99"/>
    <n v="198.54"/>
    <n v="19"/>
  </r>
  <r>
    <n v="31"/>
    <x v="2"/>
    <s v="Chicago"/>
    <x v="0"/>
    <x v="0"/>
    <x v="0"/>
    <x v="0"/>
    <n v="3.7"/>
    <n v="3"/>
    <n v="0.78"/>
    <n v="11.88"/>
    <n v="1"/>
  </r>
  <r>
    <n v="32"/>
    <x v="0"/>
    <s v="New York"/>
    <x v="0"/>
    <x v="1"/>
    <x v="4"/>
    <x v="4"/>
    <n v="5.39"/>
    <n v="3"/>
    <n v="1.1299999999999999"/>
    <n v="17.3"/>
    <n v="1"/>
  </r>
  <r>
    <n v="33"/>
    <x v="1"/>
    <s v="Los Angeles"/>
    <x v="1"/>
    <x v="0"/>
    <x v="1"/>
    <x v="1"/>
    <n v="6.94"/>
    <n v="17"/>
    <n v="8.26"/>
    <n v="126.24"/>
    <n v="0"/>
  </r>
  <r>
    <n v="34"/>
    <x v="1"/>
    <s v="Los Angeles"/>
    <x v="1"/>
    <x v="0"/>
    <x v="4"/>
    <x v="4"/>
    <n v="8.1300000000000008"/>
    <n v="9"/>
    <n v="5.12"/>
    <n v="78.290000000000006"/>
    <n v="0"/>
  </r>
  <r>
    <n v="35"/>
    <x v="0"/>
    <s v="New York"/>
    <x v="0"/>
    <x v="0"/>
    <x v="2"/>
    <x v="2"/>
    <n v="13.42"/>
    <n v="2"/>
    <n v="1.88"/>
    <n v="28.72"/>
    <n v="2"/>
  </r>
  <r>
    <n v="36"/>
    <x v="0"/>
    <s v="New York"/>
    <x v="0"/>
    <x v="0"/>
    <x v="3"/>
    <x v="3"/>
    <n v="13.14"/>
    <n v="15"/>
    <n v="13.8"/>
    <n v="210.9"/>
    <n v="21"/>
  </r>
  <r>
    <n v="37"/>
    <x v="1"/>
    <s v="Los Angeles"/>
    <x v="0"/>
    <x v="0"/>
    <x v="0"/>
    <x v="0"/>
    <n v="11.14"/>
    <n v="16"/>
    <n v="12.48"/>
    <n v="190.72"/>
    <n v="19"/>
  </r>
  <r>
    <n v="38"/>
    <x v="1"/>
    <s v="Los Angeles"/>
    <x v="0"/>
    <x v="1"/>
    <x v="1"/>
    <x v="1"/>
    <n v="5.42"/>
    <n v="14"/>
    <n v="5.31"/>
    <n v="81.19"/>
    <n v="8"/>
  </r>
  <r>
    <n v="39"/>
    <x v="0"/>
    <s v="New York"/>
    <x v="0"/>
    <x v="1"/>
    <x v="1"/>
    <x v="1"/>
    <n v="15.34"/>
    <n v="15"/>
    <n v="16.11"/>
    <n v="246.21"/>
    <n v="24"/>
  </r>
  <r>
    <n v="40"/>
    <x v="0"/>
    <s v="New York"/>
    <x v="1"/>
    <x v="1"/>
    <x v="2"/>
    <x v="2"/>
    <n v="1.17"/>
    <n v="11"/>
    <n v="0.9"/>
    <n v="13.77"/>
    <n v="0"/>
  </r>
  <r>
    <n v="41"/>
    <x v="0"/>
    <s v="New York"/>
    <x v="0"/>
    <x v="1"/>
    <x v="1"/>
    <x v="1"/>
    <n v="10.8"/>
    <n v="10"/>
    <n v="7.56"/>
    <n v="115.56"/>
    <n v="11"/>
  </r>
  <r>
    <n v="42"/>
    <x v="0"/>
    <s v="New York"/>
    <x v="1"/>
    <x v="0"/>
    <x v="2"/>
    <x v="2"/>
    <n v="10.98"/>
    <n v="12"/>
    <n v="9.2200000000000006"/>
    <n v="140.97999999999999"/>
    <n v="0"/>
  </r>
  <r>
    <n v="43"/>
    <x v="0"/>
    <s v="New York"/>
    <x v="1"/>
    <x v="1"/>
    <x v="1"/>
    <x v="1"/>
    <n v="4.17"/>
    <n v="2"/>
    <n v="0.57999999999999996"/>
    <n v="8.92"/>
    <n v="0"/>
  </r>
  <r>
    <n v="44"/>
    <x v="2"/>
    <s v="Chicago"/>
    <x v="0"/>
    <x v="0"/>
    <x v="3"/>
    <x v="3"/>
    <n v="20.13"/>
    <n v="2"/>
    <n v="2.82"/>
    <n v="43.08"/>
    <n v="4"/>
  </r>
  <r>
    <n v="45"/>
    <x v="1"/>
    <s v="Los Angeles"/>
    <x v="0"/>
    <x v="1"/>
    <x v="0"/>
    <x v="0"/>
    <n v="15.73"/>
    <n v="8"/>
    <n v="8.81"/>
    <n v="134.65"/>
    <n v="13"/>
  </r>
  <r>
    <n v="46"/>
    <x v="0"/>
    <s v="New York"/>
    <x v="0"/>
    <x v="0"/>
    <x v="0"/>
    <x v="0"/>
    <n v="15.95"/>
    <n v="8"/>
    <n v="8.93"/>
    <n v="136.53"/>
    <n v="13"/>
  </r>
  <r>
    <n v="47"/>
    <x v="0"/>
    <s v="New York"/>
    <x v="1"/>
    <x v="0"/>
    <x v="0"/>
    <x v="0"/>
    <n v="1.28"/>
    <n v="8"/>
    <n v="0.72"/>
    <n v="10.96"/>
    <n v="0"/>
  </r>
  <r>
    <n v="48"/>
    <x v="1"/>
    <s v="Los Angeles"/>
    <x v="1"/>
    <x v="1"/>
    <x v="3"/>
    <x v="3"/>
    <n v="9.98"/>
    <n v="20"/>
    <n v="13.97"/>
    <n v="213.57"/>
    <n v="0"/>
  </r>
  <r>
    <n v="49"/>
    <x v="1"/>
    <s v="Los Angeles"/>
    <x v="1"/>
    <x v="1"/>
    <x v="3"/>
    <x v="3"/>
    <n v="6.31"/>
    <n v="2"/>
    <n v="0.88"/>
    <n v="13.5"/>
    <n v="0"/>
  </r>
  <r>
    <n v="50"/>
    <x v="2"/>
    <s v="Chicago"/>
    <x v="1"/>
    <x v="1"/>
    <x v="2"/>
    <x v="2"/>
    <n v="16.5"/>
    <n v="19"/>
    <n v="21.95"/>
    <n v="335.45"/>
    <n v="0"/>
  </r>
  <r>
    <n v="51"/>
    <x v="2"/>
    <s v="Chicago"/>
    <x v="1"/>
    <x v="0"/>
    <x v="3"/>
    <x v="3"/>
    <n v="17.02"/>
    <n v="19"/>
    <n v="22.64"/>
    <n v="346.02"/>
    <n v="0"/>
  </r>
  <r>
    <n v="52"/>
    <x v="2"/>
    <s v="Chicago"/>
    <x v="0"/>
    <x v="0"/>
    <x v="4"/>
    <x v="4"/>
    <n v="11.16"/>
    <n v="5"/>
    <n v="3.91"/>
    <n v="59.71"/>
    <n v="5"/>
  </r>
  <r>
    <n v="53"/>
    <x v="1"/>
    <s v="Los Angeles"/>
    <x v="1"/>
    <x v="1"/>
    <x v="4"/>
    <x v="4"/>
    <n v="19.059999999999999"/>
    <n v="1"/>
    <n v="1.33"/>
    <n v="20.39"/>
    <n v="0"/>
  </r>
  <r>
    <n v="54"/>
    <x v="0"/>
    <s v="New York"/>
    <x v="1"/>
    <x v="1"/>
    <x v="4"/>
    <x v="4"/>
    <n v="4.68"/>
    <n v="14"/>
    <n v="4.59"/>
    <n v="70.11"/>
    <n v="0"/>
  </r>
  <r>
    <n v="55"/>
    <x v="1"/>
    <s v="Los Angeles"/>
    <x v="0"/>
    <x v="0"/>
    <x v="1"/>
    <x v="1"/>
    <n v="15.57"/>
    <n v="13"/>
    <n v="14.17"/>
    <n v="216.58"/>
    <n v="21"/>
  </r>
  <r>
    <n v="56"/>
    <x v="2"/>
    <s v="Chicago"/>
    <x v="0"/>
    <x v="0"/>
    <x v="0"/>
    <x v="0"/>
    <n v="19.86"/>
    <n v="10"/>
    <n v="13.9"/>
    <n v="212.5"/>
    <n v="21"/>
  </r>
  <r>
    <n v="57"/>
    <x v="2"/>
    <s v="Chicago"/>
    <x v="0"/>
    <x v="1"/>
    <x v="4"/>
    <x v="4"/>
    <n v="20.41"/>
    <n v="19"/>
    <n v="27.15"/>
    <n v="414.94"/>
    <n v="41"/>
  </r>
  <r>
    <n v="58"/>
    <x v="2"/>
    <s v="Chicago"/>
    <x v="1"/>
    <x v="0"/>
    <x v="1"/>
    <x v="1"/>
    <n v="19.96"/>
    <n v="20"/>
    <n v="27.94"/>
    <n v="427.14"/>
    <n v="0"/>
  </r>
  <r>
    <n v="59"/>
    <x v="2"/>
    <s v="Chicago"/>
    <x v="0"/>
    <x v="0"/>
    <x v="3"/>
    <x v="3"/>
    <n v="15.48"/>
    <n v="20"/>
    <n v="21.67"/>
    <n v="331.27"/>
    <n v="33"/>
  </r>
  <r>
    <n v="60"/>
    <x v="2"/>
    <s v="Chicago"/>
    <x v="0"/>
    <x v="0"/>
    <x v="1"/>
    <x v="1"/>
    <n v="13.99"/>
    <n v="4"/>
    <n v="3.92"/>
    <n v="59.88"/>
    <n v="5"/>
  </r>
  <r>
    <n v="61"/>
    <x v="0"/>
    <s v="New York"/>
    <x v="0"/>
    <x v="0"/>
    <x v="3"/>
    <x v="3"/>
    <n v="9.39"/>
    <n v="2"/>
    <n v="1.31"/>
    <n v="20.09"/>
    <n v="2"/>
  </r>
  <r>
    <n v="62"/>
    <x v="2"/>
    <s v="Chicago"/>
    <x v="0"/>
    <x v="0"/>
    <x v="4"/>
    <x v="4"/>
    <n v="19.190000000000001"/>
    <n v="14"/>
    <n v="18.809999999999999"/>
    <n v="287.47000000000003"/>
    <n v="28"/>
  </r>
  <r>
    <n v="63"/>
    <x v="0"/>
    <s v="New York"/>
    <x v="0"/>
    <x v="0"/>
    <x v="1"/>
    <x v="1"/>
    <n v="12.73"/>
    <n v="19"/>
    <n v="16.93"/>
    <n v="258.8"/>
    <n v="25"/>
  </r>
  <r>
    <n v="64"/>
    <x v="2"/>
    <s v="Chicago"/>
    <x v="0"/>
    <x v="1"/>
    <x v="3"/>
    <x v="3"/>
    <n v="11.33"/>
    <n v="10"/>
    <n v="7.93"/>
    <n v="121.23"/>
    <n v="12"/>
  </r>
  <r>
    <n v="65"/>
    <x v="0"/>
    <s v="New York"/>
    <x v="1"/>
    <x v="0"/>
    <x v="4"/>
    <x v="4"/>
    <n v="8.7799999999999994"/>
    <n v="12"/>
    <n v="7.38"/>
    <n v="112.74"/>
    <n v="0"/>
  </r>
  <r>
    <n v="66"/>
    <x v="0"/>
    <s v="New York"/>
    <x v="0"/>
    <x v="0"/>
    <x v="1"/>
    <x v="1"/>
    <n v="10.25"/>
    <n v="2"/>
    <n v="1.44"/>
    <n v="21.94"/>
    <n v="2"/>
  </r>
  <r>
    <n v="67"/>
    <x v="1"/>
    <s v="Los Angeles"/>
    <x v="0"/>
    <x v="0"/>
    <x v="1"/>
    <x v="1"/>
    <n v="10.47"/>
    <n v="8"/>
    <n v="5.86"/>
    <n v="89.62"/>
    <n v="8"/>
  </r>
  <r>
    <n v="68"/>
    <x v="0"/>
    <s v="New York"/>
    <x v="1"/>
    <x v="1"/>
    <x v="3"/>
    <x v="3"/>
    <n v="6.75"/>
    <n v="1"/>
    <n v="0.47"/>
    <n v="7.22"/>
    <n v="0"/>
  </r>
  <r>
    <n v="69"/>
    <x v="2"/>
    <s v="Chicago"/>
    <x v="0"/>
    <x v="0"/>
    <x v="2"/>
    <x v="2"/>
    <n v="1.17"/>
    <n v="16"/>
    <n v="1.31"/>
    <n v="20.03"/>
    <n v="2"/>
  </r>
  <r>
    <n v="70"/>
    <x v="1"/>
    <s v="Los Angeles"/>
    <x v="1"/>
    <x v="1"/>
    <x v="0"/>
    <x v="0"/>
    <n v="2.77"/>
    <n v="14"/>
    <n v="2.71"/>
    <n v="41.49"/>
    <n v="0"/>
  </r>
  <r>
    <n v="71"/>
    <x v="2"/>
    <s v="Chicago"/>
    <x v="1"/>
    <x v="0"/>
    <x v="4"/>
    <x v="4"/>
    <n v="12.83"/>
    <n v="2"/>
    <n v="1.8"/>
    <n v="27.46"/>
    <n v="0"/>
  </r>
  <r>
    <n v="72"/>
    <x v="0"/>
    <s v="New York"/>
    <x v="1"/>
    <x v="1"/>
    <x v="2"/>
    <x v="2"/>
    <n v="14.21"/>
    <n v="11"/>
    <n v="10.94"/>
    <n v="167.25"/>
    <n v="0"/>
  </r>
  <r>
    <n v="73"/>
    <x v="2"/>
    <s v="Chicago"/>
    <x v="1"/>
    <x v="0"/>
    <x v="3"/>
    <x v="3"/>
    <n v="7.27"/>
    <n v="20"/>
    <n v="10.18"/>
    <n v="155.58000000000001"/>
    <n v="0"/>
  </r>
  <r>
    <n v="74"/>
    <x v="0"/>
    <s v="New York"/>
    <x v="1"/>
    <x v="1"/>
    <x v="0"/>
    <x v="0"/>
    <n v="20.27"/>
    <n v="2"/>
    <n v="2.84"/>
    <n v="43.38"/>
    <n v="0"/>
  </r>
  <r>
    <n v="75"/>
    <x v="0"/>
    <s v="New York"/>
    <x v="1"/>
    <x v="0"/>
    <x v="4"/>
    <x v="4"/>
    <n v="8.6199999999999992"/>
    <n v="11"/>
    <n v="6.64"/>
    <n v="101.46"/>
    <n v="0"/>
  </r>
  <r>
    <n v="76"/>
    <x v="0"/>
    <s v="New York"/>
    <x v="1"/>
    <x v="0"/>
    <x v="0"/>
    <x v="0"/>
    <n v="19.14"/>
    <n v="8"/>
    <n v="10.72"/>
    <n v="163.84"/>
    <n v="0"/>
  </r>
  <r>
    <n v="77"/>
    <x v="1"/>
    <s v="Los Angeles"/>
    <x v="1"/>
    <x v="1"/>
    <x v="4"/>
    <x v="4"/>
    <n v="10.16"/>
    <n v="10"/>
    <n v="7.11"/>
    <n v="108.71"/>
    <n v="0"/>
  </r>
  <r>
    <n v="78"/>
    <x v="2"/>
    <s v="Chicago"/>
    <x v="1"/>
    <x v="0"/>
    <x v="2"/>
    <x v="2"/>
    <n v="6.73"/>
    <n v="20"/>
    <n v="9.42"/>
    <n v="144.02000000000001"/>
    <n v="0"/>
  </r>
  <r>
    <n v="79"/>
    <x v="1"/>
    <s v="Los Angeles"/>
    <x v="1"/>
    <x v="1"/>
    <x v="1"/>
    <x v="1"/>
    <n v="14.18"/>
    <n v="11"/>
    <n v="10.92"/>
    <n v="166.9"/>
    <n v="0"/>
  </r>
  <r>
    <n v="80"/>
    <x v="0"/>
    <s v="New York"/>
    <x v="0"/>
    <x v="0"/>
    <x v="1"/>
    <x v="1"/>
    <n v="16.600000000000001"/>
    <n v="16"/>
    <n v="18.59"/>
    <n v="284.19"/>
    <n v="28"/>
  </r>
  <r>
    <n v="81"/>
    <x v="2"/>
    <s v="Chicago"/>
    <x v="1"/>
    <x v="1"/>
    <x v="4"/>
    <x v="4"/>
    <n v="13.36"/>
    <n v="20"/>
    <n v="18.7"/>
    <n v="285.89999999999998"/>
    <n v="0"/>
  </r>
  <r>
    <n v="82"/>
    <x v="2"/>
    <s v="Chicago"/>
    <x v="0"/>
    <x v="0"/>
    <x v="4"/>
    <x v="4"/>
    <n v="14.04"/>
    <n v="15"/>
    <n v="14.74"/>
    <n v="225.34"/>
    <n v="22"/>
  </r>
  <r>
    <n v="83"/>
    <x v="1"/>
    <s v="Los Angeles"/>
    <x v="1"/>
    <x v="0"/>
    <x v="4"/>
    <x v="4"/>
    <n v="13.89"/>
    <n v="8"/>
    <n v="7.78"/>
    <n v="118.9"/>
    <n v="0"/>
  </r>
  <r>
    <n v="84"/>
    <x v="0"/>
    <s v="New York"/>
    <x v="0"/>
    <x v="1"/>
    <x v="1"/>
    <x v="1"/>
    <n v="17.559999999999999"/>
    <n v="10"/>
    <n v="12.29"/>
    <n v="187.89"/>
    <n v="18"/>
  </r>
  <r>
    <n v="85"/>
    <x v="2"/>
    <s v="Chicago"/>
    <x v="1"/>
    <x v="1"/>
    <x v="3"/>
    <x v="3"/>
    <n v="3.79"/>
    <n v="13"/>
    <n v="3.45"/>
    <n v="52.72"/>
    <n v="0"/>
  </r>
  <r>
    <n v="86"/>
    <x v="1"/>
    <s v="Los Angeles"/>
    <x v="1"/>
    <x v="0"/>
    <x v="4"/>
    <x v="4"/>
    <n v="5"/>
    <n v="10"/>
    <n v="3.5"/>
    <n v="53.5"/>
    <n v="0"/>
  </r>
  <r>
    <n v="87"/>
    <x v="2"/>
    <s v="Chicago"/>
    <x v="0"/>
    <x v="1"/>
    <x v="0"/>
    <x v="0"/>
    <n v="2.74"/>
    <n v="2"/>
    <n v="0.38"/>
    <n v="5.86"/>
    <n v="0"/>
  </r>
  <r>
    <n v="88"/>
    <x v="0"/>
    <s v="New York"/>
    <x v="1"/>
    <x v="1"/>
    <x v="4"/>
    <x v="4"/>
    <n v="13.87"/>
    <n v="8"/>
    <n v="7.77"/>
    <n v="118.73"/>
    <n v="0"/>
  </r>
  <r>
    <n v="89"/>
    <x v="2"/>
    <s v="Chicago"/>
    <x v="1"/>
    <x v="0"/>
    <x v="3"/>
    <x v="3"/>
    <n v="19.61"/>
    <n v="2"/>
    <n v="2.75"/>
    <n v="41.97"/>
    <n v="0"/>
  </r>
  <r>
    <n v="90"/>
    <x v="1"/>
    <s v="Los Angeles"/>
    <x v="1"/>
    <x v="0"/>
    <x v="1"/>
    <x v="1"/>
    <n v="10.71"/>
    <n v="10"/>
    <n v="7.5"/>
    <n v="114.6"/>
    <n v="0"/>
  </r>
  <r>
    <n v="91"/>
    <x v="2"/>
    <s v="Chicago"/>
    <x v="0"/>
    <x v="1"/>
    <x v="4"/>
    <x v="4"/>
    <n v="18.57"/>
    <n v="3"/>
    <n v="3.9"/>
    <n v="59.61"/>
    <n v="5"/>
  </r>
  <r>
    <n v="92"/>
    <x v="1"/>
    <s v="Los Angeles"/>
    <x v="0"/>
    <x v="0"/>
    <x v="1"/>
    <x v="1"/>
    <n v="19.100000000000001"/>
    <n v="2"/>
    <n v="2.67"/>
    <n v="40.869999999999997"/>
    <n v="4"/>
  </r>
  <r>
    <n v="93"/>
    <x v="0"/>
    <s v="New York"/>
    <x v="0"/>
    <x v="1"/>
    <x v="2"/>
    <x v="2"/>
    <n v="10.029999999999999"/>
    <n v="12"/>
    <n v="8.43"/>
    <n v="128.79"/>
    <n v="12"/>
  </r>
  <r>
    <n v="94"/>
    <x v="1"/>
    <s v="Los Angeles"/>
    <x v="0"/>
    <x v="1"/>
    <x v="4"/>
    <x v="4"/>
    <n v="5.65"/>
    <n v="9"/>
    <n v="3.56"/>
    <n v="54.41"/>
    <n v="5"/>
  </r>
  <r>
    <n v="95"/>
    <x v="1"/>
    <s v="Los Angeles"/>
    <x v="1"/>
    <x v="1"/>
    <x v="0"/>
    <x v="0"/>
    <n v="18.04"/>
    <n v="9"/>
    <n v="11.37"/>
    <n v="173.73"/>
    <n v="0"/>
  </r>
  <r>
    <n v="96"/>
    <x v="0"/>
    <s v="New York"/>
    <x v="0"/>
    <x v="0"/>
    <x v="2"/>
    <x v="2"/>
    <n v="6.9"/>
    <n v="1"/>
    <n v="0.48"/>
    <n v="7.38"/>
    <n v="0"/>
  </r>
  <r>
    <n v="97"/>
    <x v="1"/>
    <s v="Los Angeles"/>
    <x v="0"/>
    <x v="0"/>
    <x v="4"/>
    <x v="4"/>
    <n v="18.78"/>
    <n v="17"/>
    <n v="22.35"/>
    <n v="341.61"/>
    <n v="34"/>
  </r>
  <r>
    <n v="98"/>
    <x v="1"/>
    <s v="Los Angeles"/>
    <x v="1"/>
    <x v="0"/>
    <x v="1"/>
    <x v="1"/>
    <n v="15.55"/>
    <n v="3"/>
    <n v="3.27"/>
    <n v="49.92"/>
    <n v="0"/>
  </r>
  <r>
    <n v="99"/>
    <x v="0"/>
    <s v="New York"/>
    <x v="1"/>
    <x v="0"/>
    <x v="3"/>
    <x v="3"/>
    <n v="15.25"/>
    <n v="17"/>
    <n v="18.149999999999999"/>
    <n v="277.39999999999998"/>
    <n v="0"/>
  </r>
  <r>
    <n v="100"/>
    <x v="2"/>
    <s v="Chicago"/>
    <x v="0"/>
    <x v="0"/>
    <x v="1"/>
    <x v="1"/>
    <n v="10.62"/>
    <n v="18"/>
    <n v="13.38"/>
    <n v="204.54"/>
    <n v="20"/>
  </r>
  <r>
    <n v="101"/>
    <x v="1"/>
    <s v="Los Angeles"/>
    <x v="0"/>
    <x v="0"/>
    <x v="4"/>
    <x v="4"/>
    <n v="4.24"/>
    <n v="20"/>
    <n v="5.94"/>
    <n v="90.74"/>
    <n v="9"/>
  </r>
  <r>
    <n v="102"/>
    <x v="0"/>
    <s v="New York"/>
    <x v="1"/>
    <x v="1"/>
    <x v="1"/>
    <x v="1"/>
    <n v="16.690000000000001"/>
    <n v="4"/>
    <n v="4.67"/>
    <n v="71.430000000000007"/>
    <n v="0"/>
  </r>
  <r>
    <n v="103"/>
    <x v="0"/>
    <s v="New York"/>
    <x v="1"/>
    <x v="0"/>
    <x v="4"/>
    <x v="4"/>
    <n v="8.89"/>
    <n v="9"/>
    <n v="5.6"/>
    <n v="85.61"/>
    <n v="0"/>
  </r>
  <r>
    <n v="104"/>
    <x v="0"/>
    <s v="New York"/>
    <x v="1"/>
    <x v="0"/>
    <x v="0"/>
    <x v="0"/>
    <n v="18.239999999999998"/>
    <n v="18"/>
    <n v="22.98"/>
    <n v="351.3"/>
    <n v="0"/>
  </r>
  <r>
    <n v="105"/>
    <x v="1"/>
    <s v="Los Angeles"/>
    <x v="0"/>
    <x v="1"/>
    <x v="4"/>
    <x v="4"/>
    <n v="6.23"/>
    <n v="18"/>
    <n v="7.85"/>
    <n v="119.99"/>
    <n v="11"/>
  </r>
  <r>
    <n v="106"/>
    <x v="2"/>
    <s v="Chicago"/>
    <x v="1"/>
    <x v="0"/>
    <x v="2"/>
    <x v="2"/>
    <n v="1.02"/>
    <n v="2"/>
    <n v="0.14000000000000001"/>
    <n v="2.1800000000000002"/>
    <n v="0"/>
  </r>
  <r>
    <n v="107"/>
    <x v="0"/>
    <s v="New York"/>
    <x v="0"/>
    <x v="1"/>
    <x v="3"/>
    <x v="3"/>
    <n v="4.5"/>
    <n v="6"/>
    <n v="1.89"/>
    <n v="28.89"/>
    <n v="2"/>
  </r>
  <r>
    <n v="108"/>
    <x v="1"/>
    <s v="Los Angeles"/>
    <x v="1"/>
    <x v="0"/>
    <x v="3"/>
    <x v="3"/>
    <n v="7.31"/>
    <n v="15"/>
    <n v="7.68"/>
    <n v="117.33"/>
    <n v="0"/>
  </r>
  <r>
    <n v="109"/>
    <x v="1"/>
    <s v="Los Angeles"/>
    <x v="1"/>
    <x v="0"/>
    <x v="4"/>
    <x v="4"/>
    <n v="16.899999999999999"/>
    <n v="9"/>
    <n v="10.65"/>
    <n v="162.75"/>
    <n v="0"/>
  </r>
  <r>
    <n v="110"/>
    <x v="0"/>
    <s v="New York"/>
    <x v="0"/>
    <x v="1"/>
    <x v="3"/>
    <x v="3"/>
    <n v="5.91"/>
    <n v="13"/>
    <n v="5.38"/>
    <n v="82.21"/>
    <n v="8"/>
  </r>
  <r>
    <n v="111"/>
    <x v="2"/>
    <s v="Chicago"/>
    <x v="0"/>
    <x v="1"/>
    <x v="2"/>
    <x v="2"/>
    <n v="14.97"/>
    <n v="9"/>
    <n v="9.43"/>
    <n v="144.16"/>
    <n v="14"/>
  </r>
  <r>
    <n v="112"/>
    <x v="0"/>
    <s v="New York"/>
    <x v="0"/>
    <x v="0"/>
    <x v="2"/>
    <x v="2"/>
    <n v="10.039999999999999"/>
    <n v="9"/>
    <n v="6.33"/>
    <n v="96.69"/>
    <n v="9"/>
  </r>
  <r>
    <n v="113"/>
    <x v="2"/>
    <s v="Chicago"/>
    <x v="0"/>
    <x v="0"/>
    <x v="2"/>
    <x v="2"/>
    <n v="20.89"/>
    <n v="3"/>
    <n v="4.3899999999999997"/>
    <n v="67.06"/>
    <n v="6"/>
  </r>
  <r>
    <n v="114"/>
    <x v="2"/>
    <s v="Chicago"/>
    <x v="0"/>
    <x v="1"/>
    <x v="3"/>
    <x v="3"/>
    <n v="9.3800000000000008"/>
    <n v="15"/>
    <n v="9.85"/>
    <n v="150.55000000000001"/>
    <n v="15"/>
  </r>
  <r>
    <n v="115"/>
    <x v="0"/>
    <s v="New York"/>
    <x v="1"/>
    <x v="0"/>
    <x v="4"/>
    <x v="4"/>
    <n v="4.7699999999999996"/>
    <n v="11"/>
    <n v="3.67"/>
    <n v="56.14"/>
    <n v="0"/>
  </r>
  <r>
    <n v="116"/>
    <x v="0"/>
    <s v="New York"/>
    <x v="1"/>
    <x v="1"/>
    <x v="2"/>
    <x v="2"/>
    <n v="7.01"/>
    <n v="19"/>
    <n v="9.32"/>
    <n v="142.51"/>
    <n v="0"/>
  </r>
  <r>
    <n v="117"/>
    <x v="2"/>
    <s v="Chicago"/>
    <x v="0"/>
    <x v="0"/>
    <x v="0"/>
    <x v="0"/>
    <n v="12.65"/>
    <n v="18"/>
    <n v="15.94"/>
    <n v="243.64"/>
    <n v="24"/>
  </r>
  <r>
    <n v="118"/>
    <x v="1"/>
    <s v="Los Angeles"/>
    <x v="0"/>
    <x v="1"/>
    <x v="3"/>
    <x v="3"/>
    <n v="5.42"/>
    <n v="16"/>
    <n v="6.07"/>
    <n v="92.79"/>
    <n v="9"/>
  </r>
  <r>
    <n v="119"/>
    <x v="2"/>
    <s v="Chicago"/>
    <x v="1"/>
    <x v="1"/>
    <x v="2"/>
    <x v="2"/>
    <n v="17.61"/>
    <n v="7"/>
    <n v="8.6300000000000008"/>
    <n v="131.9"/>
    <n v="0"/>
  </r>
  <r>
    <n v="120"/>
    <x v="0"/>
    <s v="New York"/>
    <x v="1"/>
    <x v="0"/>
    <x v="4"/>
    <x v="4"/>
    <n v="4.6399999999999997"/>
    <n v="9"/>
    <n v="2.92"/>
    <n v="44.68"/>
    <n v="0"/>
  </r>
  <r>
    <n v="121"/>
    <x v="1"/>
    <s v="Los Angeles"/>
    <x v="0"/>
    <x v="1"/>
    <x v="1"/>
    <x v="1"/>
    <n v="1.68"/>
    <n v="4"/>
    <n v="0.47"/>
    <n v="7.19"/>
    <n v="0"/>
  </r>
  <r>
    <n v="122"/>
    <x v="0"/>
    <s v="New York"/>
    <x v="1"/>
    <x v="1"/>
    <x v="3"/>
    <x v="3"/>
    <n v="3.2"/>
    <n v="12"/>
    <n v="2.69"/>
    <n v="41.09"/>
    <n v="0"/>
  </r>
  <r>
    <n v="123"/>
    <x v="2"/>
    <s v="Chicago"/>
    <x v="1"/>
    <x v="0"/>
    <x v="0"/>
    <x v="0"/>
    <n v="3.33"/>
    <n v="11"/>
    <n v="2.56"/>
    <n v="39.19"/>
    <n v="0"/>
  </r>
  <r>
    <n v="124"/>
    <x v="0"/>
    <s v="New York"/>
    <x v="0"/>
    <x v="1"/>
    <x v="3"/>
    <x v="3"/>
    <n v="14.91"/>
    <n v="4"/>
    <n v="4.17"/>
    <n v="63.81"/>
    <n v="6"/>
  </r>
  <r>
    <n v="125"/>
    <x v="0"/>
    <s v="New York"/>
    <x v="0"/>
    <x v="0"/>
    <x v="0"/>
    <x v="0"/>
    <n v="6.84"/>
    <n v="6"/>
    <n v="2.87"/>
    <n v="43.91"/>
    <n v="4"/>
  </r>
  <r>
    <n v="126"/>
    <x v="0"/>
    <s v="New York"/>
    <x v="0"/>
    <x v="1"/>
    <x v="3"/>
    <x v="3"/>
    <n v="20.37"/>
    <n v="10"/>
    <n v="14.26"/>
    <n v="217.96"/>
    <n v="21"/>
  </r>
  <r>
    <n v="127"/>
    <x v="0"/>
    <s v="New York"/>
    <x v="1"/>
    <x v="0"/>
    <x v="2"/>
    <x v="2"/>
    <n v="1.0900000000000001"/>
    <n v="10"/>
    <n v="0.76"/>
    <n v="11.66"/>
    <n v="0"/>
  </r>
  <r>
    <n v="128"/>
    <x v="2"/>
    <s v="Chicago"/>
    <x v="0"/>
    <x v="1"/>
    <x v="1"/>
    <x v="1"/>
    <n v="2.78"/>
    <n v="5"/>
    <n v="0.97"/>
    <n v="14.87"/>
    <n v="1"/>
  </r>
  <r>
    <n v="129"/>
    <x v="2"/>
    <s v="Chicago"/>
    <x v="0"/>
    <x v="1"/>
    <x v="0"/>
    <x v="0"/>
    <n v="15.52"/>
    <n v="4"/>
    <n v="4.3499999999999996"/>
    <n v="66.430000000000007"/>
    <n v="6"/>
  </r>
  <r>
    <n v="130"/>
    <x v="1"/>
    <s v="Los Angeles"/>
    <x v="0"/>
    <x v="1"/>
    <x v="0"/>
    <x v="0"/>
    <n v="13.18"/>
    <n v="16"/>
    <n v="14.76"/>
    <n v="225.64"/>
    <n v="22"/>
  </r>
  <r>
    <n v="131"/>
    <x v="0"/>
    <s v="New York"/>
    <x v="1"/>
    <x v="0"/>
    <x v="0"/>
    <x v="0"/>
    <n v="6.17"/>
    <n v="19"/>
    <n v="8.2100000000000009"/>
    <n v="125.44"/>
    <n v="0"/>
  </r>
  <r>
    <n v="132"/>
    <x v="2"/>
    <s v="Chicago"/>
    <x v="1"/>
    <x v="0"/>
    <x v="4"/>
    <x v="4"/>
    <n v="12.01"/>
    <n v="17"/>
    <n v="14.29"/>
    <n v="218.46"/>
    <n v="0"/>
  </r>
  <r>
    <n v="133"/>
    <x v="2"/>
    <s v="Chicago"/>
    <x v="1"/>
    <x v="0"/>
    <x v="2"/>
    <x v="2"/>
    <n v="17.25"/>
    <n v="14"/>
    <n v="16.91"/>
    <n v="258.41000000000003"/>
    <n v="0"/>
  </r>
  <r>
    <n v="134"/>
    <x v="0"/>
    <s v="New York"/>
    <x v="0"/>
    <x v="1"/>
    <x v="2"/>
    <x v="2"/>
    <n v="17.25"/>
    <n v="11"/>
    <n v="13.28"/>
    <n v="203.03"/>
    <n v="20"/>
  </r>
  <r>
    <n v="135"/>
    <x v="0"/>
    <s v="New York"/>
    <x v="0"/>
    <x v="1"/>
    <x v="1"/>
    <x v="1"/>
    <n v="20.58"/>
    <n v="19"/>
    <n v="27.37"/>
    <n v="418.39"/>
    <n v="41"/>
  </r>
  <r>
    <n v="136"/>
    <x v="1"/>
    <s v="Los Angeles"/>
    <x v="1"/>
    <x v="1"/>
    <x v="2"/>
    <x v="2"/>
    <n v="4.91"/>
    <n v="1"/>
    <n v="0.34"/>
    <n v="5.25"/>
    <n v="0"/>
  </r>
  <r>
    <n v="137"/>
    <x v="1"/>
    <s v="Los Angeles"/>
    <x v="0"/>
    <x v="1"/>
    <x v="2"/>
    <x v="2"/>
    <n v="18.05"/>
    <n v="2"/>
    <n v="2.5299999999999998"/>
    <n v="38.630000000000003"/>
    <n v="3"/>
  </r>
  <r>
    <n v="138"/>
    <x v="1"/>
    <s v="Los Angeles"/>
    <x v="0"/>
    <x v="0"/>
    <x v="1"/>
    <x v="1"/>
    <n v="4.66"/>
    <n v="18"/>
    <n v="5.87"/>
    <n v="89.75"/>
    <n v="8"/>
  </r>
  <r>
    <n v="139"/>
    <x v="2"/>
    <s v="Chicago"/>
    <x v="0"/>
    <x v="0"/>
    <x v="0"/>
    <x v="0"/>
    <n v="4.8899999999999997"/>
    <n v="14"/>
    <n v="4.79"/>
    <n v="73.25"/>
    <n v="7"/>
  </r>
  <r>
    <n v="140"/>
    <x v="1"/>
    <s v="Los Angeles"/>
    <x v="0"/>
    <x v="1"/>
    <x v="4"/>
    <x v="4"/>
    <n v="9.7100000000000009"/>
    <n v="13"/>
    <n v="8.84"/>
    <n v="135.07"/>
    <n v="13"/>
  </r>
  <r>
    <n v="141"/>
    <x v="2"/>
    <s v="Chicago"/>
    <x v="1"/>
    <x v="1"/>
    <x v="1"/>
    <x v="1"/>
    <n v="3.44"/>
    <n v="6"/>
    <n v="1.44"/>
    <n v="22.08"/>
    <n v="0"/>
  </r>
  <r>
    <n v="142"/>
    <x v="0"/>
    <s v="New York"/>
    <x v="0"/>
    <x v="1"/>
    <x v="1"/>
    <x v="1"/>
    <n v="14.58"/>
    <n v="7"/>
    <n v="7.14"/>
    <n v="109.2"/>
    <n v="10"/>
  </r>
  <r>
    <n v="143"/>
    <x v="0"/>
    <s v="New York"/>
    <x v="0"/>
    <x v="0"/>
    <x v="0"/>
    <x v="0"/>
    <n v="16.690000000000001"/>
    <n v="7"/>
    <n v="8.18"/>
    <n v="125.01"/>
    <n v="12"/>
  </r>
  <r>
    <n v="144"/>
    <x v="2"/>
    <s v="Chicago"/>
    <x v="0"/>
    <x v="0"/>
    <x v="0"/>
    <x v="0"/>
    <n v="9.7200000000000006"/>
    <n v="16"/>
    <n v="10.89"/>
    <n v="166.41"/>
    <n v="16"/>
  </r>
  <r>
    <n v="145"/>
    <x v="1"/>
    <s v="Los Angeles"/>
    <x v="1"/>
    <x v="0"/>
    <x v="0"/>
    <x v="0"/>
    <n v="15.96"/>
    <n v="2"/>
    <n v="2.23"/>
    <n v="34.15"/>
    <n v="0"/>
  </r>
  <r>
    <n v="146"/>
    <x v="0"/>
    <s v="New York"/>
    <x v="0"/>
    <x v="0"/>
    <x v="2"/>
    <x v="2"/>
    <n v="11.42"/>
    <n v="20"/>
    <n v="15.99"/>
    <n v="244.39"/>
    <n v="24"/>
  </r>
  <r>
    <n v="147"/>
    <x v="0"/>
    <s v="New York"/>
    <x v="1"/>
    <x v="0"/>
    <x v="1"/>
    <x v="1"/>
    <n v="5.01"/>
    <n v="12"/>
    <n v="4.21"/>
    <n v="64.33"/>
    <n v="0"/>
  </r>
  <r>
    <n v="148"/>
    <x v="2"/>
    <s v="Chicago"/>
    <x v="0"/>
    <x v="0"/>
    <x v="1"/>
    <x v="1"/>
    <n v="2.27"/>
    <n v="9"/>
    <n v="1.43"/>
    <n v="21.86"/>
    <n v="2"/>
  </r>
  <r>
    <n v="149"/>
    <x v="0"/>
    <s v="New York"/>
    <x v="0"/>
    <x v="1"/>
    <x v="0"/>
    <x v="0"/>
    <n v="13.07"/>
    <n v="19"/>
    <n v="17.38"/>
    <n v="265.70999999999998"/>
    <n v="26"/>
  </r>
  <r>
    <n v="150"/>
    <x v="0"/>
    <s v="New York"/>
    <x v="1"/>
    <x v="1"/>
    <x v="1"/>
    <x v="1"/>
    <n v="5.83"/>
    <n v="14"/>
    <n v="5.71"/>
    <n v="87.33"/>
    <n v="0"/>
  </r>
  <r>
    <n v="151"/>
    <x v="2"/>
    <s v="Chicago"/>
    <x v="1"/>
    <x v="0"/>
    <x v="0"/>
    <x v="0"/>
    <n v="20.059999999999999"/>
    <n v="14"/>
    <n v="19.66"/>
    <n v="300.5"/>
    <n v="0"/>
  </r>
  <r>
    <n v="152"/>
    <x v="2"/>
    <s v="Chicago"/>
    <x v="1"/>
    <x v="0"/>
    <x v="4"/>
    <x v="4"/>
    <n v="19.89"/>
    <n v="10"/>
    <n v="13.92"/>
    <n v="212.82"/>
    <n v="0"/>
  </r>
  <r>
    <n v="153"/>
    <x v="2"/>
    <s v="Chicago"/>
    <x v="1"/>
    <x v="0"/>
    <x v="1"/>
    <x v="1"/>
    <n v="5.56"/>
    <n v="19"/>
    <n v="7.39"/>
    <n v="113.03"/>
    <n v="0"/>
  </r>
  <r>
    <n v="154"/>
    <x v="1"/>
    <s v="Los Angeles"/>
    <x v="1"/>
    <x v="0"/>
    <x v="3"/>
    <x v="3"/>
    <n v="17.21"/>
    <n v="1"/>
    <n v="1.2"/>
    <n v="18.41"/>
    <n v="0"/>
  </r>
  <r>
    <n v="155"/>
    <x v="2"/>
    <s v="Chicago"/>
    <x v="0"/>
    <x v="0"/>
    <x v="2"/>
    <x v="2"/>
    <n v="11.38"/>
    <n v="11"/>
    <n v="8.76"/>
    <n v="133.94"/>
    <n v="13"/>
  </r>
  <r>
    <n v="156"/>
    <x v="2"/>
    <s v="Chicago"/>
    <x v="0"/>
    <x v="0"/>
    <x v="4"/>
    <x v="4"/>
    <n v="5.33"/>
    <n v="20"/>
    <n v="7.46"/>
    <n v="114.06"/>
    <n v="11"/>
  </r>
  <r>
    <n v="157"/>
    <x v="0"/>
    <s v="New York"/>
    <x v="1"/>
    <x v="1"/>
    <x v="0"/>
    <x v="0"/>
    <n v="18.79"/>
    <n v="20"/>
    <n v="26.31"/>
    <n v="402.11"/>
    <n v="0"/>
  </r>
  <r>
    <n v="158"/>
    <x v="0"/>
    <s v="New York"/>
    <x v="1"/>
    <x v="0"/>
    <x v="0"/>
    <x v="0"/>
    <n v="19.04"/>
    <n v="1"/>
    <n v="1.33"/>
    <n v="20.37"/>
    <n v="0"/>
  </r>
  <r>
    <n v="159"/>
    <x v="0"/>
    <s v="New York"/>
    <x v="1"/>
    <x v="1"/>
    <x v="1"/>
    <x v="1"/>
    <n v="19.82"/>
    <n v="11"/>
    <n v="15.26"/>
    <n v="233.28"/>
    <n v="0"/>
  </r>
  <r>
    <n v="160"/>
    <x v="2"/>
    <s v="Chicago"/>
    <x v="0"/>
    <x v="1"/>
    <x v="4"/>
    <x v="4"/>
    <n v="9.31"/>
    <n v="2"/>
    <n v="1.3"/>
    <n v="19.920000000000002"/>
    <n v="1"/>
  </r>
  <r>
    <n v="161"/>
    <x v="2"/>
    <s v="Chicago"/>
    <x v="0"/>
    <x v="0"/>
    <x v="4"/>
    <x v="4"/>
    <n v="20.91"/>
    <n v="19"/>
    <n v="27.81"/>
    <n v="425.1"/>
    <n v="42"/>
  </r>
  <r>
    <n v="162"/>
    <x v="0"/>
    <s v="New York"/>
    <x v="0"/>
    <x v="1"/>
    <x v="0"/>
    <x v="0"/>
    <n v="15.06"/>
    <n v="4"/>
    <n v="4.22"/>
    <n v="64.459999999999994"/>
    <n v="6"/>
  </r>
  <r>
    <n v="163"/>
    <x v="1"/>
    <s v="Los Angeles"/>
    <x v="1"/>
    <x v="0"/>
    <x v="4"/>
    <x v="4"/>
    <n v="17.61"/>
    <n v="11"/>
    <n v="13.56"/>
    <n v="207.27"/>
    <n v="0"/>
  </r>
  <r>
    <n v="164"/>
    <x v="1"/>
    <s v="Los Angeles"/>
    <x v="1"/>
    <x v="0"/>
    <x v="1"/>
    <x v="1"/>
    <n v="20.76"/>
    <n v="8"/>
    <n v="11.63"/>
    <n v="177.71"/>
    <n v="0"/>
  </r>
  <r>
    <n v="165"/>
    <x v="2"/>
    <s v="Chicago"/>
    <x v="0"/>
    <x v="1"/>
    <x v="3"/>
    <x v="3"/>
    <n v="11.92"/>
    <n v="18"/>
    <n v="15.02"/>
    <n v="229.58"/>
    <n v="22"/>
  </r>
  <r>
    <n v="166"/>
    <x v="1"/>
    <s v="Los Angeles"/>
    <x v="1"/>
    <x v="0"/>
    <x v="3"/>
    <x v="3"/>
    <n v="14.17"/>
    <n v="18"/>
    <n v="17.850000000000001"/>
    <n v="272.91000000000003"/>
    <n v="0"/>
  </r>
  <r>
    <n v="167"/>
    <x v="1"/>
    <s v="Los Angeles"/>
    <x v="1"/>
    <x v="0"/>
    <x v="2"/>
    <x v="2"/>
    <n v="6.56"/>
    <n v="10"/>
    <n v="4.59"/>
    <n v="70.19"/>
    <n v="0"/>
  </r>
  <r>
    <n v="168"/>
    <x v="2"/>
    <s v="Chicago"/>
    <x v="0"/>
    <x v="0"/>
    <x v="3"/>
    <x v="3"/>
    <n v="9.6300000000000008"/>
    <n v="12"/>
    <n v="8.09"/>
    <n v="123.65"/>
    <n v="12"/>
  </r>
  <r>
    <n v="169"/>
    <x v="0"/>
    <s v="New York"/>
    <x v="0"/>
    <x v="0"/>
    <x v="4"/>
    <x v="4"/>
    <n v="17.989999999999998"/>
    <n v="4"/>
    <n v="5.04"/>
    <n v="77"/>
    <n v="7"/>
  </r>
  <r>
    <n v="170"/>
    <x v="1"/>
    <s v="Los Angeles"/>
    <x v="1"/>
    <x v="1"/>
    <x v="3"/>
    <x v="3"/>
    <n v="5.36"/>
    <n v="12"/>
    <n v="4.5"/>
    <n v="68.819999999999993"/>
    <n v="0"/>
  </r>
  <r>
    <n v="171"/>
    <x v="0"/>
    <s v="New York"/>
    <x v="0"/>
    <x v="1"/>
    <x v="4"/>
    <x v="4"/>
    <n v="11.53"/>
    <n v="5"/>
    <n v="4.04"/>
    <n v="61.69"/>
    <n v="6"/>
  </r>
  <r>
    <n v="172"/>
    <x v="1"/>
    <s v="Los Angeles"/>
    <x v="1"/>
    <x v="1"/>
    <x v="0"/>
    <x v="0"/>
    <n v="14.82"/>
    <n v="15"/>
    <n v="15.56"/>
    <n v="237.86"/>
    <n v="0"/>
  </r>
  <r>
    <n v="173"/>
    <x v="0"/>
    <s v="New York"/>
    <x v="0"/>
    <x v="1"/>
    <x v="2"/>
    <x v="2"/>
    <n v="14.83"/>
    <n v="20"/>
    <n v="20.76"/>
    <n v="317.36"/>
    <n v="31"/>
  </r>
  <r>
    <n v="174"/>
    <x v="1"/>
    <s v="Los Angeles"/>
    <x v="0"/>
    <x v="0"/>
    <x v="0"/>
    <x v="0"/>
    <n v="5.09"/>
    <n v="3"/>
    <n v="1.07"/>
    <n v="16.34"/>
    <n v="1"/>
  </r>
  <r>
    <n v="175"/>
    <x v="0"/>
    <s v="New York"/>
    <x v="1"/>
    <x v="0"/>
    <x v="3"/>
    <x v="3"/>
    <n v="17.32"/>
    <n v="15"/>
    <n v="18.190000000000001"/>
    <n v="277.99"/>
    <n v="0"/>
  </r>
  <r>
    <n v="176"/>
    <x v="1"/>
    <s v="Los Angeles"/>
    <x v="0"/>
    <x v="1"/>
    <x v="0"/>
    <x v="0"/>
    <n v="14.31"/>
    <n v="1"/>
    <n v="1"/>
    <n v="15.31"/>
    <n v="1"/>
  </r>
  <r>
    <n v="177"/>
    <x v="1"/>
    <s v="Los Angeles"/>
    <x v="0"/>
    <x v="0"/>
    <x v="4"/>
    <x v="4"/>
    <n v="1.21"/>
    <n v="10"/>
    <n v="0.85"/>
    <n v="12.95"/>
    <n v="1"/>
  </r>
  <r>
    <n v="178"/>
    <x v="2"/>
    <s v="Chicago"/>
    <x v="0"/>
    <x v="0"/>
    <x v="1"/>
    <x v="1"/>
    <n v="11.85"/>
    <n v="10"/>
    <n v="8.3000000000000007"/>
    <n v="126.8"/>
    <n v="12"/>
  </r>
  <r>
    <n v="179"/>
    <x v="0"/>
    <s v="New York"/>
    <x v="0"/>
    <x v="0"/>
    <x v="1"/>
    <x v="1"/>
    <n v="4.5999999999999996"/>
    <n v="3"/>
    <n v="0.97"/>
    <n v="14.77"/>
    <n v="1"/>
  </r>
  <r>
    <n v="180"/>
    <x v="1"/>
    <s v="Los Angeles"/>
    <x v="0"/>
    <x v="1"/>
    <x v="4"/>
    <x v="4"/>
    <n v="6.78"/>
    <n v="4"/>
    <n v="1.9"/>
    <n v="29.02"/>
    <n v="2"/>
  </r>
  <r>
    <n v="181"/>
    <x v="1"/>
    <s v="Los Angeles"/>
    <x v="0"/>
    <x v="1"/>
    <x v="1"/>
    <x v="1"/>
    <n v="15.13"/>
    <n v="17"/>
    <n v="18"/>
    <n v="275.20999999999998"/>
    <n v="27"/>
  </r>
  <r>
    <n v="182"/>
    <x v="0"/>
    <s v="New York"/>
    <x v="1"/>
    <x v="1"/>
    <x v="3"/>
    <x v="3"/>
    <n v="3.14"/>
    <n v="8"/>
    <n v="1.76"/>
    <n v="26.88"/>
    <n v="0"/>
  </r>
  <r>
    <n v="183"/>
    <x v="2"/>
    <s v="Chicago"/>
    <x v="1"/>
    <x v="1"/>
    <x v="1"/>
    <x v="1"/>
    <n v="4.37"/>
    <n v="15"/>
    <n v="4.59"/>
    <n v="70.14"/>
    <n v="0"/>
  </r>
  <r>
    <n v="184"/>
    <x v="0"/>
    <s v="New York"/>
    <x v="0"/>
    <x v="1"/>
    <x v="0"/>
    <x v="0"/>
    <n v="18.7"/>
    <n v="14"/>
    <n v="18.329999999999998"/>
    <n v="280.13"/>
    <n v="28"/>
  </r>
  <r>
    <n v="185"/>
    <x v="2"/>
    <s v="Chicago"/>
    <x v="0"/>
    <x v="1"/>
    <x v="1"/>
    <x v="1"/>
    <n v="19.12"/>
    <n v="16"/>
    <n v="21.41"/>
    <n v="327.33"/>
    <n v="32"/>
  </r>
  <r>
    <n v="186"/>
    <x v="1"/>
    <s v="Los Angeles"/>
    <x v="0"/>
    <x v="1"/>
    <x v="1"/>
    <x v="1"/>
    <n v="11.99"/>
    <n v="3"/>
    <n v="2.52"/>
    <n v="38.49"/>
    <n v="3"/>
  </r>
  <r>
    <n v="187"/>
    <x v="0"/>
    <s v="New York"/>
    <x v="0"/>
    <x v="0"/>
    <x v="1"/>
    <x v="1"/>
    <n v="9.7200000000000006"/>
    <n v="15"/>
    <n v="10.210000000000001"/>
    <n v="156.01"/>
    <n v="15"/>
  </r>
  <r>
    <n v="188"/>
    <x v="2"/>
    <s v="Chicago"/>
    <x v="1"/>
    <x v="0"/>
    <x v="1"/>
    <x v="1"/>
    <n v="5.72"/>
    <n v="5"/>
    <n v="2"/>
    <n v="30.6"/>
    <n v="0"/>
  </r>
  <r>
    <n v="189"/>
    <x v="2"/>
    <s v="Chicago"/>
    <x v="0"/>
    <x v="0"/>
    <x v="0"/>
    <x v="0"/>
    <n v="14.87"/>
    <n v="3"/>
    <n v="3.12"/>
    <n v="47.73"/>
    <n v="4"/>
  </r>
  <r>
    <n v="190"/>
    <x v="1"/>
    <s v="Los Angeles"/>
    <x v="0"/>
    <x v="1"/>
    <x v="0"/>
    <x v="0"/>
    <n v="9.66"/>
    <n v="11"/>
    <n v="7.44"/>
    <n v="113.7"/>
    <n v="11"/>
  </r>
  <r>
    <n v="191"/>
    <x v="0"/>
    <s v="New York"/>
    <x v="0"/>
    <x v="0"/>
    <x v="4"/>
    <x v="4"/>
    <n v="3.57"/>
    <n v="13"/>
    <n v="3.25"/>
    <n v="49.66"/>
    <n v="4"/>
  </r>
  <r>
    <n v="192"/>
    <x v="0"/>
    <s v="New York"/>
    <x v="0"/>
    <x v="1"/>
    <x v="3"/>
    <x v="3"/>
    <n v="5.5"/>
    <n v="10"/>
    <n v="3.85"/>
    <n v="58.85"/>
    <n v="5"/>
  </r>
  <r>
    <n v="193"/>
    <x v="1"/>
    <s v="Los Angeles"/>
    <x v="1"/>
    <x v="0"/>
    <x v="2"/>
    <x v="2"/>
    <n v="2.4500000000000002"/>
    <n v="3"/>
    <n v="0.51"/>
    <n v="7.86"/>
    <n v="0"/>
  </r>
  <r>
    <n v="194"/>
    <x v="2"/>
    <s v="Chicago"/>
    <x v="0"/>
    <x v="1"/>
    <x v="0"/>
    <x v="0"/>
    <n v="9.57"/>
    <n v="4"/>
    <n v="2.68"/>
    <n v="40.96"/>
    <n v="4"/>
  </r>
  <r>
    <n v="195"/>
    <x v="1"/>
    <s v="Los Angeles"/>
    <x v="0"/>
    <x v="0"/>
    <x v="1"/>
    <x v="1"/>
    <n v="2.61"/>
    <n v="4"/>
    <n v="0.73"/>
    <n v="11.17"/>
    <n v="1"/>
  </r>
  <r>
    <n v="196"/>
    <x v="0"/>
    <s v="New York"/>
    <x v="1"/>
    <x v="1"/>
    <x v="2"/>
    <x v="2"/>
    <n v="8.98"/>
    <n v="6"/>
    <n v="3.77"/>
    <n v="57.65"/>
    <n v="0"/>
  </r>
  <r>
    <n v="197"/>
    <x v="0"/>
    <s v="New York"/>
    <x v="0"/>
    <x v="1"/>
    <x v="1"/>
    <x v="1"/>
    <n v="19.489999999999998"/>
    <n v="15"/>
    <n v="20.46"/>
    <n v="312.81"/>
    <n v="31"/>
  </r>
  <r>
    <n v="198"/>
    <x v="2"/>
    <s v="Chicago"/>
    <x v="0"/>
    <x v="0"/>
    <x v="4"/>
    <x v="4"/>
    <n v="6.8"/>
    <n v="18"/>
    <n v="8.57"/>
    <n v="130.97"/>
    <n v="13"/>
  </r>
  <r>
    <n v="199"/>
    <x v="1"/>
    <s v="Los Angeles"/>
    <x v="0"/>
    <x v="0"/>
    <x v="1"/>
    <x v="1"/>
    <n v="9.84"/>
    <n v="16"/>
    <n v="11.02"/>
    <n v="168.46"/>
    <n v="16"/>
  </r>
  <r>
    <n v="200"/>
    <x v="2"/>
    <s v="Chicago"/>
    <x v="1"/>
    <x v="1"/>
    <x v="2"/>
    <x v="2"/>
    <n v="11.39"/>
    <n v="6"/>
    <n v="4.78"/>
    <n v="73.12"/>
    <n v="0"/>
  </r>
  <r>
    <n v="201"/>
    <x v="0"/>
    <s v="New York"/>
    <x v="1"/>
    <x v="1"/>
    <x v="3"/>
    <x v="3"/>
    <n v="8.3000000000000007"/>
    <n v="13"/>
    <n v="7.55"/>
    <n v="115.45"/>
    <n v="0"/>
  </r>
  <r>
    <n v="202"/>
    <x v="0"/>
    <s v="New York"/>
    <x v="0"/>
    <x v="1"/>
    <x v="3"/>
    <x v="3"/>
    <n v="10.9"/>
    <n v="8"/>
    <n v="6.1"/>
    <n v="93.3"/>
    <n v="9"/>
  </r>
  <r>
    <n v="203"/>
    <x v="1"/>
    <s v="Los Angeles"/>
    <x v="0"/>
    <x v="1"/>
    <x v="0"/>
    <x v="0"/>
    <n v="3"/>
    <n v="20"/>
    <n v="4.2"/>
    <n v="64.2"/>
    <n v="6"/>
  </r>
  <r>
    <n v="204"/>
    <x v="2"/>
    <s v="Chicago"/>
    <x v="0"/>
    <x v="1"/>
    <x v="3"/>
    <x v="3"/>
    <n v="16.5"/>
    <n v="10"/>
    <n v="11.55"/>
    <n v="176.55"/>
    <n v="17"/>
  </r>
  <r>
    <n v="205"/>
    <x v="0"/>
    <s v="New York"/>
    <x v="1"/>
    <x v="1"/>
    <x v="4"/>
    <x v="4"/>
    <n v="20.059999999999999"/>
    <n v="5"/>
    <n v="7.02"/>
    <n v="107.32"/>
    <n v="0"/>
  </r>
  <r>
    <n v="206"/>
    <x v="0"/>
    <s v="New York"/>
    <x v="1"/>
    <x v="1"/>
    <x v="0"/>
    <x v="0"/>
    <n v="10.73"/>
    <n v="7"/>
    <n v="5.26"/>
    <n v="80.37"/>
    <n v="0"/>
  </r>
  <r>
    <n v="207"/>
    <x v="1"/>
    <s v="Los Angeles"/>
    <x v="1"/>
    <x v="1"/>
    <x v="3"/>
    <x v="3"/>
    <n v="8.4600000000000009"/>
    <n v="18"/>
    <n v="10.66"/>
    <n v="162.94"/>
    <n v="0"/>
  </r>
  <r>
    <n v="208"/>
    <x v="0"/>
    <s v="New York"/>
    <x v="0"/>
    <x v="1"/>
    <x v="0"/>
    <x v="0"/>
    <n v="6.76"/>
    <n v="20"/>
    <n v="9.4600000000000009"/>
    <n v="144.66"/>
    <n v="14"/>
  </r>
  <r>
    <n v="209"/>
    <x v="1"/>
    <s v="Los Angeles"/>
    <x v="1"/>
    <x v="0"/>
    <x v="4"/>
    <x v="4"/>
    <n v="8.7100000000000009"/>
    <n v="7"/>
    <n v="4.2699999999999996"/>
    <n v="65.239999999999995"/>
    <n v="0"/>
  </r>
  <r>
    <n v="210"/>
    <x v="1"/>
    <s v="Los Angeles"/>
    <x v="0"/>
    <x v="1"/>
    <x v="1"/>
    <x v="1"/>
    <n v="6.91"/>
    <n v="18"/>
    <n v="8.7100000000000009"/>
    <n v="133.09"/>
    <n v="13"/>
  </r>
  <r>
    <n v="211"/>
    <x v="2"/>
    <s v="Chicago"/>
    <x v="0"/>
    <x v="1"/>
    <x v="1"/>
    <x v="1"/>
    <n v="16.18"/>
    <n v="15"/>
    <n v="16.989999999999998"/>
    <n v="259.69"/>
    <n v="25"/>
  </r>
  <r>
    <n v="212"/>
    <x v="2"/>
    <s v="Chicago"/>
    <x v="0"/>
    <x v="1"/>
    <x v="3"/>
    <x v="3"/>
    <n v="12.5"/>
    <n v="17"/>
    <n v="14.88"/>
    <n v="227.38"/>
    <n v="22"/>
  </r>
  <r>
    <n v="213"/>
    <x v="0"/>
    <s v="New York"/>
    <x v="1"/>
    <x v="0"/>
    <x v="4"/>
    <x v="4"/>
    <n v="17.55"/>
    <n v="16"/>
    <n v="19.66"/>
    <n v="300.45999999999998"/>
    <n v="0"/>
  </r>
  <r>
    <n v="214"/>
    <x v="0"/>
    <s v="New York"/>
    <x v="1"/>
    <x v="0"/>
    <x v="1"/>
    <x v="1"/>
    <n v="17.59"/>
    <n v="1"/>
    <n v="1.23"/>
    <n v="18.82"/>
    <n v="0"/>
  </r>
  <r>
    <n v="215"/>
    <x v="1"/>
    <s v="Los Angeles"/>
    <x v="0"/>
    <x v="1"/>
    <x v="1"/>
    <x v="1"/>
    <n v="6.7"/>
    <n v="19"/>
    <n v="8.91"/>
    <n v="136.21"/>
    <n v="13"/>
  </r>
  <r>
    <n v="216"/>
    <x v="0"/>
    <s v="New York"/>
    <x v="0"/>
    <x v="1"/>
    <x v="0"/>
    <x v="0"/>
    <n v="18.350000000000001"/>
    <n v="2"/>
    <n v="2.57"/>
    <n v="39.270000000000003"/>
    <n v="3"/>
  </r>
  <r>
    <n v="217"/>
    <x v="0"/>
    <s v="New York"/>
    <x v="1"/>
    <x v="1"/>
    <x v="4"/>
    <x v="4"/>
    <n v="7.09"/>
    <n v="16"/>
    <n v="7.94"/>
    <n v="121.38"/>
    <n v="0"/>
  </r>
  <r>
    <n v="218"/>
    <x v="2"/>
    <s v="Chicago"/>
    <x v="0"/>
    <x v="0"/>
    <x v="3"/>
    <x v="3"/>
    <n v="19.96"/>
    <n v="9"/>
    <n v="12.57"/>
    <n v="192.21"/>
    <n v="19"/>
  </r>
  <r>
    <n v="219"/>
    <x v="1"/>
    <s v="Los Angeles"/>
    <x v="1"/>
    <x v="0"/>
    <x v="0"/>
    <x v="0"/>
    <n v="3.01"/>
    <n v="16"/>
    <n v="3.37"/>
    <n v="51.53"/>
    <n v="0"/>
  </r>
  <r>
    <n v="220"/>
    <x v="0"/>
    <s v="New York"/>
    <x v="0"/>
    <x v="0"/>
    <x v="3"/>
    <x v="3"/>
    <n v="4.8"/>
    <n v="13"/>
    <n v="4.37"/>
    <n v="66.77"/>
    <n v="6"/>
  </r>
  <r>
    <n v="221"/>
    <x v="1"/>
    <s v="Los Angeles"/>
    <x v="1"/>
    <x v="1"/>
    <x v="4"/>
    <x v="4"/>
    <n v="5.86"/>
    <n v="17"/>
    <n v="6.97"/>
    <n v="106.59"/>
    <n v="0"/>
  </r>
  <r>
    <n v="222"/>
    <x v="1"/>
    <s v="Los Angeles"/>
    <x v="0"/>
    <x v="1"/>
    <x v="4"/>
    <x v="4"/>
    <n v="17.55"/>
    <n v="19"/>
    <n v="23.34"/>
    <n v="356.79"/>
    <n v="35"/>
  </r>
  <r>
    <n v="223"/>
    <x v="0"/>
    <s v="New York"/>
    <x v="0"/>
    <x v="0"/>
    <x v="0"/>
    <x v="0"/>
    <n v="14.47"/>
    <n v="5"/>
    <n v="5.0599999999999996"/>
    <n v="77.41"/>
    <n v="7"/>
  </r>
  <r>
    <n v="224"/>
    <x v="2"/>
    <s v="Chicago"/>
    <x v="0"/>
    <x v="1"/>
    <x v="4"/>
    <x v="4"/>
    <n v="7.91"/>
    <n v="14"/>
    <n v="7.75"/>
    <n v="118.49"/>
    <n v="11"/>
  </r>
  <r>
    <n v="225"/>
    <x v="2"/>
    <s v="Chicago"/>
    <x v="0"/>
    <x v="0"/>
    <x v="2"/>
    <x v="2"/>
    <n v="5.1100000000000003"/>
    <n v="19"/>
    <n v="6.8"/>
    <n v="103.89"/>
    <n v="10"/>
  </r>
  <r>
    <n v="226"/>
    <x v="2"/>
    <s v="Chicago"/>
    <x v="0"/>
    <x v="0"/>
    <x v="0"/>
    <x v="0"/>
    <n v="17.62"/>
    <n v="16"/>
    <n v="19.73"/>
    <n v="301.64999999999998"/>
    <n v="30"/>
  </r>
  <r>
    <n v="227"/>
    <x v="0"/>
    <s v="New York"/>
    <x v="0"/>
    <x v="0"/>
    <x v="0"/>
    <x v="0"/>
    <n v="12.79"/>
    <n v="3"/>
    <n v="2.69"/>
    <n v="41.06"/>
    <n v="4"/>
  </r>
  <r>
    <n v="228"/>
    <x v="0"/>
    <s v="New York"/>
    <x v="1"/>
    <x v="0"/>
    <x v="2"/>
    <x v="2"/>
    <n v="9.59"/>
    <n v="1"/>
    <n v="0.67"/>
    <n v="10.26"/>
    <n v="0"/>
  </r>
  <r>
    <n v="229"/>
    <x v="0"/>
    <s v="New York"/>
    <x v="1"/>
    <x v="1"/>
    <x v="1"/>
    <x v="1"/>
    <n v="2.58"/>
    <n v="14"/>
    <n v="2.5299999999999998"/>
    <n v="38.65"/>
    <n v="0"/>
  </r>
  <r>
    <n v="230"/>
    <x v="0"/>
    <s v="New York"/>
    <x v="1"/>
    <x v="0"/>
    <x v="0"/>
    <x v="0"/>
    <n v="15.08"/>
    <n v="12"/>
    <n v="12.67"/>
    <n v="193.63"/>
    <n v="0"/>
  </r>
  <r>
    <n v="231"/>
    <x v="0"/>
    <s v="New York"/>
    <x v="0"/>
    <x v="0"/>
    <x v="0"/>
    <x v="0"/>
    <n v="10.4"/>
    <n v="1"/>
    <n v="0.73"/>
    <n v="11.13"/>
    <n v="1"/>
  </r>
  <r>
    <n v="232"/>
    <x v="2"/>
    <s v="Chicago"/>
    <x v="1"/>
    <x v="0"/>
    <x v="0"/>
    <x v="0"/>
    <n v="1.07"/>
    <n v="4"/>
    <n v="0.3"/>
    <n v="4.58"/>
    <n v="0"/>
  </r>
  <r>
    <n v="233"/>
    <x v="0"/>
    <s v="New York"/>
    <x v="1"/>
    <x v="0"/>
    <x v="0"/>
    <x v="0"/>
    <n v="2.83"/>
    <n v="6"/>
    <n v="1.19"/>
    <n v="18.170000000000002"/>
    <n v="0"/>
  </r>
  <r>
    <n v="234"/>
    <x v="2"/>
    <s v="Chicago"/>
    <x v="0"/>
    <x v="0"/>
    <x v="1"/>
    <x v="1"/>
    <n v="4.63"/>
    <n v="5"/>
    <n v="1.62"/>
    <n v="24.77"/>
    <n v="2"/>
  </r>
  <r>
    <n v="235"/>
    <x v="0"/>
    <s v="New York"/>
    <x v="1"/>
    <x v="1"/>
    <x v="2"/>
    <x v="2"/>
    <n v="12.78"/>
    <n v="2"/>
    <n v="1.79"/>
    <n v="27.35"/>
    <n v="0"/>
  </r>
  <r>
    <n v="236"/>
    <x v="2"/>
    <s v="Chicago"/>
    <x v="0"/>
    <x v="0"/>
    <x v="2"/>
    <x v="2"/>
    <n v="11.56"/>
    <n v="16"/>
    <n v="12.95"/>
    <n v="197.91"/>
    <n v="19"/>
  </r>
  <r>
    <n v="237"/>
    <x v="1"/>
    <s v="Los Angeles"/>
    <x v="1"/>
    <x v="1"/>
    <x v="3"/>
    <x v="3"/>
    <n v="18.100000000000001"/>
    <n v="8"/>
    <n v="10.14"/>
    <n v="154.94"/>
    <n v="0"/>
  </r>
  <r>
    <n v="238"/>
    <x v="0"/>
    <s v="New York"/>
    <x v="0"/>
    <x v="0"/>
    <x v="0"/>
    <x v="0"/>
    <n v="7.6"/>
    <n v="1"/>
    <n v="0.53"/>
    <n v="8.1300000000000008"/>
    <n v="0"/>
  </r>
  <r>
    <n v="239"/>
    <x v="2"/>
    <s v="Chicago"/>
    <x v="0"/>
    <x v="0"/>
    <x v="0"/>
    <x v="0"/>
    <n v="19.850000000000001"/>
    <n v="15"/>
    <n v="20.84"/>
    <n v="318.58999999999997"/>
    <n v="31"/>
  </r>
  <r>
    <n v="240"/>
    <x v="1"/>
    <s v="Los Angeles"/>
    <x v="1"/>
    <x v="0"/>
    <x v="0"/>
    <x v="0"/>
    <n v="10.77"/>
    <n v="16"/>
    <n v="12.06"/>
    <n v="184.38"/>
    <n v="0"/>
  </r>
  <r>
    <n v="241"/>
    <x v="1"/>
    <s v="Los Angeles"/>
    <x v="1"/>
    <x v="0"/>
    <x v="0"/>
    <x v="0"/>
    <n v="3.61"/>
    <n v="10"/>
    <n v="2.5299999999999998"/>
    <n v="38.630000000000003"/>
    <n v="0"/>
  </r>
  <r>
    <n v="242"/>
    <x v="0"/>
    <s v="New York"/>
    <x v="1"/>
    <x v="1"/>
    <x v="0"/>
    <x v="0"/>
    <n v="6.77"/>
    <n v="13"/>
    <n v="6.16"/>
    <n v="94.17"/>
    <n v="0"/>
  </r>
  <r>
    <n v="243"/>
    <x v="2"/>
    <s v="Chicago"/>
    <x v="1"/>
    <x v="1"/>
    <x v="0"/>
    <x v="0"/>
    <n v="10.220000000000001"/>
    <n v="6"/>
    <n v="4.29"/>
    <n v="65.61"/>
    <n v="0"/>
  </r>
  <r>
    <n v="244"/>
    <x v="1"/>
    <s v="Los Angeles"/>
    <x v="1"/>
    <x v="1"/>
    <x v="2"/>
    <x v="2"/>
    <n v="12.47"/>
    <n v="15"/>
    <n v="13.09"/>
    <n v="200.14"/>
    <n v="0"/>
  </r>
  <r>
    <n v="245"/>
    <x v="2"/>
    <s v="Chicago"/>
    <x v="1"/>
    <x v="0"/>
    <x v="0"/>
    <x v="0"/>
    <n v="15.54"/>
    <n v="16"/>
    <n v="17.399999999999999"/>
    <n v="266.04000000000002"/>
    <n v="0"/>
  </r>
  <r>
    <n v="246"/>
    <x v="0"/>
    <s v="New York"/>
    <x v="0"/>
    <x v="1"/>
    <x v="1"/>
    <x v="1"/>
    <n v="18.3"/>
    <n v="9"/>
    <n v="11.53"/>
    <n v="176.23"/>
    <n v="17"/>
  </r>
  <r>
    <n v="247"/>
    <x v="2"/>
    <s v="Chicago"/>
    <x v="1"/>
    <x v="0"/>
    <x v="3"/>
    <x v="3"/>
    <n v="8.81"/>
    <n v="3"/>
    <n v="1.85"/>
    <n v="28.28"/>
    <n v="0"/>
  </r>
  <r>
    <n v="248"/>
    <x v="0"/>
    <s v="New York"/>
    <x v="0"/>
    <x v="0"/>
    <x v="2"/>
    <x v="2"/>
    <n v="13.53"/>
    <n v="17"/>
    <n v="16.100000000000001"/>
    <n v="246.11"/>
    <n v="24"/>
  </r>
  <r>
    <n v="249"/>
    <x v="0"/>
    <s v="New York"/>
    <x v="1"/>
    <x v="1"/>
    <x v="3"/>
    <x v="3"/>
    <n v="9.61"/>
    <n v="19"/>
    <n v="12.78"/>
    <n v="195.37"/>
    <n v="0"/>
  </r>
  <r>
    <n v="250"/>
    <x v="1"/>
    <s v="Los Angeles"/>
    <x v="0"/>
    <x v="1"/>
    <x v="2"/>
    <x v="2"/>
    <n v="10.17"/>
    <n v="18"/>
    <n v="12.81"/>
    <n v="195.87"/>
    <n v="19"/>
  </r>
  <r>
    <n v="251"/>
    <x v="2"/>
    <s v="Chicago"/>
    <x v="0"/>
    <x v="1"/>
    <x v="1"/>
    <x v="1"/>
    <n v="15.34"/>
    <n v="8"/>
    <n v="8.59"/>
    <n v="131.31"/>
    <n v="13"/>
  </r>
  <r>
    <n v="252"/>
    <x v="1"/>
    <s v="Los Angeles"/>
    <x v="0"/>
    <x v="1"/>
    <x v="2"/>
    <x v="2"/>
    <n v="19.5"/>
    <n v="13"/>
    <n v="17.75"/>
    <n v="271.25"/>
    <n v="27"/>
  </r>
  <r>
    <n v="253"/>
    <x v="0"/>
    <s v="New York"/>
    <x v="0"/>
    <x v="0"/>
    <x v="4"/>
    <x v="4"/>
    <n v="20.81"/>
    <n v="5"/>
    <n v="7.28"/>
    <n v="111.33"/>
    <n v="11"/>
  </r>
  <r>
    <n v="254"/>
    <x v="2"/>
    <s v="Chicago"/>
    <x v="1"/>
    <x v="1"/>
    <x v="4"/>
    <x v="4"/>
    <n v="20.25"/>
    <n v="4"/>
    <n v="5.67"/>
    <n v="86.67"/>
    <n v="0"/>
  </r>
  <r>
    <n v="255"/>
    <x v="1"/>
    <s v="Los Angeles"/>
    <x v="1"/>
    <x v="0"/>
    <x v="2"/>
    <x v="2"/>
    <n v="4.37"/>
    <n v="4"/>
    <n v="1.22"/>
    <n v="18.7"/>
    <n v="0"/>
  </r>
  <r>
    <n v="256"/>
    <x v="1"/>
    <s v="Los Angeles"/>
    <x v="1"/>
    <x v="0"/>
    <x v="2"/>
    <x v="2"/>
    <n v="17.95"/>
    <n v="12"/>
    <n v="15.08"/>
    <n v="230.48"/>
    <n v="0"/>
  </r>
  <r>
    <n v="257"/>
    <x v="0"/>
    <s v="New York"/>
    <x v="0"/>
    <x v="0"/>
    <x v="2"/>
    <x v="2"/>
    <n v="3.32"/>
    <n v="7"/>
    <n v="1.63"/>
    <n v="24.87"/>
    <n v="2"/>
  </r>
  <r>
    <n v="258"/>
    <x v="2"/>
    <s v="Chicago"/>
    <x v="0"/>
    <x v="1"/>
    <x v="2"/>
    <x v="2"/>
    <n v="18.14"/>
    <n v="19"/>
    <n v="24.13"/>
    <n v="368.79"/>
    <n v="36"/>
  </r>
  <r>
    <n v="259"/>
    <x v="2"/>
    <s v="Chicago"/>
    <x v="0"/>
    <x v="0"/>
    <x v="0"/>
    <x v="0"/>
    <n v="6.62"/>
    <n v="8"/>
    <n v="3.71"/>
    <n v="56.67"/>
    <n v="5"/>
  </r>
  <r>
    <n v="260"/>
    <x v="1"/>
    <s v="Los Angeles"/>
    <x v="0"/>
    <x v="1"/>
    <x v="0"/>
    <x v="0"/>
    <n v="14.94"/>
    <n v="10"/>
    <n v="10.46"/>
    <n v="159.86000000000001"/>
    <n v="15"/>
  </r>
  <r>
    <n v="261"/>
    <x v="1"/>
    <s v="Los Angeles"/>
    <x v="0"/>
    <x v="0"/>
    <x v="1"/>
    <x v="1"/>
    <n v="20.02"/>
    <n v="19"/>
    <n v="26.63"/>
    <n v="407.01"/>
    <n v="40"/>
  </r>
  <r>
    <n v="262"/>
    <x v="0"/>
    <s v="New York"/>
    <x v="1"/>
    <x v="0"/>
    <x v="0"/>
    <x v="0"/>
    <n v="17.649999999999999"/>
    <n v="5"/>
    <n v="6.18"/>
    <n v="94.43"/>
    <n v="0"/>
  </r>
  <r>
    <n v="263"/>
    <x v="0"/>
    <s v="New York"/>
    <x v="1"/>
    <x v="1"/>
    <x v="3"/>
    <x v="3"/>
    <n v="11.67"/>
    <n v="11"/>
    <n v="8.99"/>
    <n v="137.36000000000001"/>
    <n v="0"/>
  </r>
  <r>
    <n v="264"/>
    <x v="1"/>
    <s v="Los Angeles"/>
    <x v="0"/>
    <x v="0"/>
    <x v="0"/>
    <x v="0"/>
    <n v="17.100000000000001"/>
    <n v="1"/>
    <n v="1.2"/>
    <n v="18.3"/>
    <n v="1"/>
  </r>
  <r>
    <n v="265"/>
    <x v="1"/>
    <s v="Los Angeles"/>
    <x v="0"/>
    <x v="1"/>
    <x v="3"/>
    <x v="3"/>
    <n v="2.39"/>
    <n v="10"/>
    <n v="1.67"/>
    <n v="25.57"/>
    <n v="2"/>
  </r>
  <r>
    <n v="266"/>
    <x v="1"/>
    <s v="Los Angeles"/>
    <x v="0"/>
    <x v="1"/>
    <x v="0"/>
    <x v="0"/>
    <n v="2.14"/>
    <n v="13"/>
    <n v="1.95"/>
    <n v="29.77"/>
    <n v="2"/>
  </r>
  <r>
    <n v="267"/>
    <x v="1"/>
    <s v="Los Angeles"/>
    <x v="0"/>
    <x v="0"/>
    <x v="1"/>
    <x v="1"/>
    <n v="6.41"/>
    <n v="7"/>
    <n v="3.14"/>
    <n v="48.01"/>
    <n v="4"/>
  </r>
  <r>
    <n v="268"/>
    <x v="1"/>
    <s v="Los Angeles"/>
    <x v="1"/>
    <x v="0"/>
    <x v="4"/>
    <x v="4"/>
    <n v="5.94"/>
    <n v="13"/>
    <n v="5.41"/>
    <n v="82.63"/>
    <n v="0"/>
  </r>
  <r>
    <n v="269"/>
    <x v="1"/>
    <s v="Los Angeles"/>
    <x v="0"/>
    <x v="0"/>
    <x v="4"/>
    <x v="4"/>
    <n v="17.329999999999998"/>
    <n v="17"/>
    <n v="20.62"/>
    <n v="315.23"/>
    <n v="31"/>
  </r>
  <r>
    <n v="270"/>
    <x v="2"/>
    <s v="Chicago"/>
    <x v="1"/>
    <x v="1"/>
    <x v="1"/>
    <x v="1"/>
    <n v="16.05"/>
    <n v="18"/>
    <n v="20.22"/>
    <n v="309.12"/>
    <n v="0"/>
  </r>
  <r>
    <n v="271"/>
    <x v="2"/>
    <s v="Chicago"/>
    <x v="1"/>
    <x v="0"/>
    <x v="4"/>
    <x v="4"/>
    <n v="17.89"/>
    <n v="1"/>
    <n v="1.25"/>
    <n v="19.14"/>
    <n v="0"/>
  </r>
  <r>
    <n v="272"/>
    <x v="0"/>
    <s v="New York"/>
    <x v="0"/>
    <x v="1"/>
    <x v="3"/>
    <x v="3"/>
    <n v="14.76"/>
    <n v="12"/>
    <n v="12.4"/>
    <n v="189.52"/>
    <n v="18"/>
  </r>
  <r>
    <n v="273"/>
    <x v="0"/>
    <s v="New York"/>
    <x v="1"/>
    <x v="0"/>
    <x v="1"/>
    <x v="1"/>
    <n v="5"/>
    <n v="9"/>
    <n v="3.15"/>
    <n v="48.15"/>
    <n v="0"/>
  </r>
  <r>
    <n v="274"/>
    <x v="0"/>
    <s v="New York"/>
    <x v="0"/>
    <x v="0"/>
    <x v="4"/>
    <x v="4"/>
    <n v="6.42"/>
    <n v="5"/>
    <n v="2.25"/>
    <n v="34.35"/>
    <n v="3"/>
  </r>
  <r>
    <n v="275"/>
    <x v="1"/>
    <s v="Los Angeles"/>
    <x v="0"/>
    <x v="0"/>
    <x v="1"/>
    <x v="1"/>
    <n v="6.37"/>
    <n v="17"/>
    <n v="7.58"/>
    <n v="115.87"/>
    <n v="11"/>
  </r>
  <r>
    <n v="276"/>
    <x v="1"/>
    <s v="Los Angeles"/>
    <x v="1"/>
    <x v="0"/>
    <x v="3"/>
    <x v="3"/>
    <n v="6.74"/>
    <n v="16"/>
    <n v="7.55"/>
    <n v="115.39"/>
    <n v="0"/>
  </r>
  <r>
    <n v="277"/>
    <x v="0"/>
    <s v="New York"/>
    <x v="1"/>
    <x v="1"/>
    <x v="2"/>
    <x v="2"/>
    <n v="15.7"/>
    <n v="12"/>
    <n v="13.19"/>
    <n v="201.59"/>
    <n v="0"/>
  </r>
  <r>
    <n v="278"/>
    <x v="1"/>
    <s v="Los Angeles"/>
    <x v="0"/>
    <x v="0"/>
    <x v="3"/>
    <x v="3"/>
    <n v="19.93"/>
    <n v="8"/>
    <n v="11.16"/>
    <n v="170.6"/>
    <n v="17"/>
  </r>
  <r>
    <n v="279"/>
    <x v="1"/>
    <s v="Los Angeles"/>
    <x v="1"/>
    <x v="0"/>
    <x v="1"/>
    <x v="1"/>
    <n v="2.4"/>
    <n v="17"/>
    <n v="2.86"/>
    <n v="43.66"/>
    <n v="0"/>
  </r>
  <r>
    <n v="280"/>
    <x v="1"/>
    <s v="Los Angeles"/>
    <x v="1"/>
    <x v="1"/>
    <x v="0"/>
    <x v="0"/>
    <n v="1.94"/>
    <n v="6"/>
    <n v="0.81"/>
    <n v="12.45"/>
    <n v="0"/>
  </r>
  <r>
    <n v="281"/>
    <x v="1"/>
    <s v="Los Angeles"/>
    <x v="0"/>
    <x v="0"/>
    <x v="0"/>
    <x v="0"/>
    <n v="4.3099999999999996"/>
    <n v="6"/>
    <n v="1.81"/>
    <n v="27.67"/>
    <n v="2"/>
  </r>
  <r>
    <n v="282"/>
    <x v="0"/>
    <s v="New York"/>
    <x v="0"/>
    <x v="1"/>
    <x v="3"/>
    <x v="3"/>
    <n v="15.53"/>
    <n v="1"/>
    <n v="1.0900000000000001"/>
    <n v="16.62"/>
    <n v="1"/>
  </r>
  <r>
    <n v="283"/>
    <x v="2"/>
    <s v="Chicago"/>
    <x v="1"/>
    <x v="1"/>
    <x v="3"/>
    <x v="3"/>
    <n v="18.010000000000002"/>
    <n v="4"/>
    <n v="5.04"/>
    <n v="77.08"/>
    <n v="0"/>
  </r>
  <r>
    <n v="284"/>
    <x v="1"/>
    <s v="Los Angeles"/>
    <x v="0"/>
    <x v="0"/>
    <x v="0"/>
    <x v="0"/>
    <n v="7.79"/>
    <n v="10"/>
    <n v="5.45"/>
    <n v="83.35"/>
    <n v="8"/>
  </r>
  <r>
    <n v="285"/>
    <x v="1"/>
    <s v="Los Angeles"/>
    <x v="0"/>
    <x v="0"/>
    <x v="4"/>
    <x v="4"/>
    <n v="1.5"/>
    <n v="4"/>
    <n v="0.42"/>
    <n v="6.42"/>
    <n v="0"/>
  </r>
  <r>
    <n v="286"/>
    <x v="2"/>
    <s v="Chicago"/>
    <x v="1"/>
    <x v="0"/>
    <x v="3"/>
    <x v="3"/>
    <n v="1.45"/>
    <n v="11"/>
    <n v="1.1200000000000001"/>
    <n v="17.07"/>
    <n v="0"/>
  </r>
  <r>
    <n v="287"/>
    <x v="2"/>
    <s v="Chicago"/>
    <x v="1"/>
    <x v="1"/>
    <x v="2"/>
    <x v="2"/>
    <n v="8.8000000000000007"/>
    <n v="6"/>
    <n v="3.7"/>
    <n v="56.5"/>
    <n v="0"/>
  </r>
  <r>
    <n v="288"/>
    <x v="0"/>
    <s v="New York"/>
    <x v="1"/>
    <x v="1"/>
    <x v="3"/>
    <x v="3"/>
    <n v="1.92"/>
    <n v="19"/>
    <n v="2.5499999999999998"/>
    <n v="39.03"/>
    <n v="0"/>
  </r>
  <r>
    <n v="289"/>
    <x v="1"/>
    <s v="Los Angeles"/>
    <x v="1"/>
    <x v="1"/>
    <x v="3"/>
    <x v="3"/>
    <n v="20.43"/>
    <n v="8"/>
    <n v="11.44"/>
    <n v="174.88"/>
    <n v="0"/>
  </r>
  <r>
    <n v="290"/>
    <x v="0"/>
    <s v="New York"/>
    <x v="1"/>
    <x v="1"/>
    <x v="0"/>
    <x v="0"/>
    <n v="18.239999999999998"/>
    <n v="6"/>
    <n v="7.66"/>
    <n v="117.1"/>
    <n v="0"/>
  </r>
  <r>
    <n v="291"/>
    <x v="2"/>
    <s v="Chicago"/>
    <x v="0"/>
    <x v="1"/>
    <x v="3"/>
    <x v="3"/>
    <n v="2.16"/>
    <n v="18"/>
    <n v="2.72"/>
    <n v="41.6"/>
    <n v="4"/>
  </r>
  <r>
    <n v="292"/>
    <x v="0"/>
    <s v="New York"/>
    <x v="0"/>
    <x v="1"/>
    <x v="1"/>
    <x v="1"/>
    <n v="8.74"/>
    <n v="16"/>
    <n v="9.7899999999999991"/>
    <n v="149.63"/>
    <n v="14"/>
  </r>
  <r>
    <n v="293"/>
    <x v="0"/>
    <s v="New York"/>
    <x v="0"/>
    <x v="1"/>
    <x v="2"/>
    <x v="2"/>
    <n v="18.32"/>
    <n v="9"/>
    <n v="11.54"/>
    <n v="176.42"/>
    <n v="17"/>
  </r>
  <r>
    <n v="294"/>
    <x v="1"/>
    <s v="Los Angeles"/>
    <x v="1"/>
    <x v="0"/>
    <x v="0"/>
    <x v="0"/>
    <n v="3.79"/>
    <n v="19"/>
    <n v="5.04"/>
    <n v="77.05"/>
    <n v="0"/>
  </r>
  <r>
    <n v="295"/>
    <x v="1"/>
    <s v="Los Angeles"/>
    <x v="0"/>
    <x v="0"/>
    <x v="4"/>
    <x v="4"/>
    <n v="12.24"/>
    <n v="2"/>
    <n v="1.71"/>
    <n v="26.19"/>
    <n v="2"/>
  </r>
  <r>
    <n v="296"/>
    <x v="0"/>
    <s v="New York"/>
    <x v="1"/>
    <x v="0"/>
    <x v="3"/>
    <x v="3"/>
    <n v="1.76"/>
    <n v="5"/>
    <n v="0.62"/>
    <n v="9.42"/>
    <n v="0"/>
  </r>
  <r>
    <n v="297"/>
    <x v="1"/>
    <s v="Los Angeles"/>
    <x v="0"/>
    <x v="0"/>
    <x v="4"/>
    <x v="4"/>
    <n v="13.6"/>
    <n v="7"/>
    <n v="6.66"/>
    <n v="101.86"/>
    <n v="10"/>
  </r>
  <r>
    <n v="298"/>
    <x v="0"/>
    <s v="New York"/>
    <x v="0"/>
    <x v="1"/>
    <x v="3"/>
    <x v="3"/>
    <n v="11.97"/>
    <n v="7"/>
    <n v="5.87"/>
    <n v="89.66"/>
    <n v="8"/>
  </r>
  <r>
    <n v="299"/>
    <x v="2"/>
    <s v="Chicago"/>
    <x v="1"/>
    <x v="1"/>
    <x v="4"/>
    <x v="4"/>
    <n v="13.49"/>
    <n v="15"/>
    <n v="14.16"/>
    <n v="216.51"/>
    <n v="0"/>
  </r>
  <r>
    <n v="300"/>
    <x v="0"/>
    <s v="New York"/>
    <x v="1"/>
    <x v="0"/>
    <x v="2"/>
    <x v="2"/>
    <n v="9.85"/>
    <n v="12"/>
    <n v="8.27"/>
    <n v="126.47"/>
    <n v="0"/>
  </r>
  <r>
    <n v="301"/>
    <x v="0"/>
    <s v="New York"/>
    <x v="0"/>
    <x v="0"/>
    <x v="0"/>
    <x v="0"/>
    <n v="13.68"/>
    <n v="7"/>
    <n v="6.7"/>
    <n v="102.46"/>
    <n v="10"/>
  </r>
  <r>
    <n v="302"/>
    <x v="2"/>
    <s v="Chicago"/>
    <x v="1"/>
    <x v="0"/>
    <x v="1"/>
    <x v="1"/>
    <n v="14.79"/>
    <n v="18"/>
    <n v="18.64"/>
    <n v="284.86"/>
    <n v="0"/>
  </r>
  <r>
    <n v="303"/>
    <x v="2"/>
    <s v="Chicago"/>
    <x v="0"/>
    <x v="1"/>
    <x v="4"/>
    <x v="4"/>
    <n v="9.74"/>
    <n v="17"/>
    <n v="11.59"/>
    <n v="177.17"/>
    <n v="17"/>
  </r>
  <r>
    <n v="304"/>
    <x v="0"/>
    <s v="New York"/>
    <x v="1"/>
    <x v="0"/>
    <x v="0"/>
    <x v="0"/>
    <n v="6.94"/>
    <n v="14"/>
    <n v="6.8"/>
    <n v="103.96"/>
    <n v="0"/>
  </r>
  <r>
    <n v="305"/>
    <x v="2"/>
    <s v="Chicago"/>
    <x v="0"/>
    <x v="1"/>
    <x v="2"/>
    <x v="2"/>
    <n v="2.78"/>
    <n v="2"/>
    <n v="0.39"/>
    <n v="5.95"/>
    <n v="0"/>
  </r>
  <r>
    <n v="306"/>
    <x v="2"/>
    <s v="Chicago"/>
    <x v="0"/>
    <x v="0"/>
    <x v="2"/>
    <x v="2"/>
    <n v="17.579999999999998"/>
    <n v="1"/>
    <n v="1.23"/>
    <n v="18.809999999999999"/>
    <n v="1"/>
  </r>
  <r>
    <n v="307"/>
    <x v="1"/>
    <s v="Los Angeles"/>
    <x v="1"/>
    <x v="1"/>
    <x v="3"/>
    <x v="3"/>
    <n v="14.2"/>
    <n v="1"/>
    <n v="0.99"/>
    <n v="15.19"/>
    <n v="0"/>
  </r>
  <r>
    <n v="308"/>
    <x v="1"/>
    <s v="Los Angeles"/>
    <x v="0"/>
    <x v="0"/>
    <x v="3"/>
    <x v="3"/>
    <n v="8.26"/>
    <n v="4"/>
    <n v="2.31"/>
    <n v="35.35"/>
    <n v="3"/>
  </r>
  <r>
    <n v="309"/>
    <x v="0"/>
    <s v="New York"/>
    <x v="0"/>
    <x v="0"/>
    <x v="4"/>
    <x v="4"/>
    <n v="8.6199999999999992"/>
    <n v="1"/>
    <n v="0.6"/>
    <n v="9.2200000000000006"/>
    <n v="0"/>
  </r>
  <r>
    <n v="310"/>
    <x v="2"/>
    <s v="Chicago"/>
    <x v="0"/>
    <x v="0"/>
    <x v="4"/>
    <x v="4"/>
    <n v="8.02"/>
    <n v="17"/>
    <n v="9.5399999999999991"/>
    <n v="145.88"/>
    <n v="14"/>
  </r>
  <r>
    <n v="311"/>
    <x v="2"/>
    <s v="Chicago"/>
    <x v="0"/>
    <x v="1"/>
    <x v="2"/>
    <x v="2"/>
    <n v="20.18"/>
    <n v="5"/>
    <n v="7.06"/>
    <n v="107.96"/>
    <n v="10"/>
  </r>
  <r>
    <n v="312"/>
    <x v="1"/>
    <s v="Los Angeles"/>
    <x v="0"/>
    <x v="1"/>
    <x v="3"/>
    <x v="3"/>
    <n v="9.8699999999999992"/>
    <n v="4"/>
    <n v="2.76"/>
    <n v="42.24"/>
    <n v="4"/>
  </r>
  <r>
    <n v="313"/>
    <x v="1"/>
    <s v="Los Angeles"/>
    <x v="1"/>
    <x v="1"/>
    <x v="3"/>
    <x v="3"/>
    <n v="5.37"/>
    <n v="13"/>
    <n v="4.8899999999999997"/>
    <n v="74.7"/>
    <n v="0"/>
  </r>
  <r>
    <n v="314"/>
    <x v="1"/>
    <s v="Los Angeles"/>
    <x v="1"/>
    <x v="1"/>
    <x v="1"/>
    <x v="1"/>
    <n v="11.36"/>
    <n v="3"/>
    <n v="2.39"/>
    <n v="36.47"/>
    <n v="0"/>
  </r>
  <r>
    <n v="315"/>
    <x v="1"/>
    <s v="Los Angeles"/>
    <x v="0"/>
    <x v="1"/>
    <x v="3"/>
    <x v="3"/>
    <n v="1.1000000000000001"/>
    <n v="5"/>
    <n v="0.39"/>
    <n v="5.89"/>
    <n v="0"/>
  </r>
  <r>
    <n v="316"/>
    <x v="0"/>
    <s v="New York"/>
    <x v="1"/>
    <x v="1"/>
    <x v="0"/>
    <x v="0"/>
    <n v="1.0900000000000001"/>
    <n v="4"/>
    <n v="0.31"/>
    <n v="4.67"/>
    <n v="0"/>
  </r>
  <r>
    <n v="317"/>
    <x v="2"/>
    <s v="Chicago"/>
    <x v="1"/>
    <x v="1"/>
    <x v="4"/>
    <x v="4"/>
    <n v="3.07"/>
    <n v="18"/>
    <n v="3.87"/>
    <n v="59.13"/>
    <n v="0"/>
  </r>
  <r>
    <n v="318"/>
    <x v="2"/>
    <s v="Chicago"/>
    <x v="1"/>
    <x v="1"/>
    <x v="1"/>
    <x v="1"/>
    <n v="16.36"/>
    <n v="16"/>
    <n v="18.32"/>
    <n v="280.08"/>
    <n v="0"/>
  </r>
  <r>
    <n v="319"/>
    <x v="1"/>
    <s v="Los Angeles"/>
    <x v="0"/>
    <x v="1"/>
    <x v="1"/>
    <x v="1"/>
    <n v="15.79"/>
    <n v="8"/>
    <n v="8.84"/>
    <n v="135.16"/>
    <n v="13"/>
  </r>
  <r>
    <n v="320"/>
    <x v="0"/>
    <s v="New York"/>
    <x v="1"/>
    <x v="0"/>
    <x v="1"/>
    <x v="1"/>
    <n v="16.89"/>
    <n v="20"/>
    <n v="23.65"/>
    <n v="361.45"/>
    <n v="0"/>
  </r>
  <r>
    <n v="321"/>
    <x v="1"/>
    <s v="Los Angeles"/>
    <x v="1"/>
    <x v="0"/>
    <x v="1"/>
    <x v="1"/>
    <n v="13.46"/>
    <n v="15"/>
    <n v="14.13"/>
    <n v="216.03"/>
    <n v="0"/>
  </r>
  <r>
    <n v="322"/>
    <x v="2"/>
    <s v="Chicago"/>
    <x v="0"/>
    <x v="1"/>
    <x v="2"/>
    <x v="2"/>
    <n v="4.3099999999999996"/>
    <n v="16"/>
    <n v="4.83"/>
    <n v="73.790000000000006"/>
    <n v="7"/>
  </r>
  <r>
    <n v="323"/>
    <x v="1"/>
    <s v="Los Angeles"/>
    <x v="0"/>
    <x v="0"/>
    <x v="4"/>
    <x v="4"/>
    <n v="19.14"/>
    <n v="5"/>
    <n v="6.7"/>
    <n v="102.4"/>
    <n v="10"/>
  </r>
  <r>
    <n v="324"/>
    <x v="2"/>
    <s v="Chicago"/>
    <x v="1"/>
    <x v="0"/>
    <x v="1"/>
    <x v="1"/>
    <n v="1.5"/>
    <n v="13"/>
    <n v="1.37"/>
    <n v="20.87"/>
    <n v="0"/>
  </r>
  <r>
    <n v="325"/>
    <x v="1"/>
    <s v="Los Angeles"/>
    <x v="0"/>
    <x v="1"/>
    <x v="3"/>
    <x v="3"/>
    <n v="18.3"/>
    <n v="19"/>
    <n v="24.34"/>
    <n v="372.04"/>
    <n v="37"/>
  </r>
  <r>
    <n v="326"/>
    <x v="1"/>
    <s v="Los Angeles"/>
    <x v="1"/>
    <x v="0"/>
    <x v="2"/>
    <x v="2"/>
    <n v="5.13"/>
    <n v="14"/>
    <n v="5.03"/>
    <n v="76.849999999999994"/>
    <n v="0"/>
  </r>
  <r>
    <n v="327"/>
    <x v="1"/>
    <s v="Los Angeles"/>
    <x v="0"/>
    <x v="0"/>
    <x v="0"/>
    <x v="0"/>
    <n v="4.25"/>
    <n v="11"/>
    <n v="3.27"/>
    <n v="50.02"/>
    <n v="5"/>
  </r>
  <r>
    <n v="328"/>
    <x v="1"/>
    <s v="Los Angeles"/>
    <x v="0"/>
    <x v="0"/>
    <x v="0"/>
    <x v="0"/>
    <n v="18.22"/>
    <n v="5"/>
    <n v="6.38"/>
    <n v="97.48"/>
    <n v="9"/>
  </r>
  <r>
    <n v="329"/>
    <x v="1"/>
    <s v="Los Angeles"/>
    <x v="1"/>
    <x v="1"/>
    <x v="4"/>
    <x v="4"/>
    <n v="1.24"/>
    <n v="10"/>
    <n v="0.87"/>
    <n v="13.27"/>
    <n v="0"/>
  </r>
  <r>
    <n v="330"/>
    <x v="1"/>
    <s v="Los Angeles"/>
    <x v="1"/>
    <x v="1"/>
    <x v="3"/>
    <x v="3"/>
    <n v="4.9000000000000004"/>
    <n v="12"/>
    <n v="4.12"/>
    <n v="62.92"/>
    <n v="0"/>
  </r>
  <r>
    <n v="331"/>
    <x v="1"/>
    <s v="Los Angeles"/>
    <x v="0"/>
    <x v="1"/>
    <x v="1"/>
    <x v="1"/>
    <n v="12.75"/>
    <n v="3"/>
    <n v="2.68"/>
    <n v="40.93"/>
    <n v="4"/>
  </r>
  <r>
    <n v="332"/>
    <x v="0"/>
    <s v="New York"/>
    <x v="0"/>
    <x v="1"/>
    <x v="1"/>
    <x v="1"/>
    <n v="20.53"/>
    <n v="18"/>
    <n v="25.87"/>
    <n v="395.41"/>
    <n v="39"/>
  </r>
  <r>
    <n v="333"/>
    <x v="0"/>
    <s v="New York"/>
    <x v="0"/>
    <x v="0"/>
    <x v="2"/>
    <x v="2"/>
    <n v="19.18"/>
    <n v="4"/>
    <n v="5.37"/>
    <n v="82.09"/>
    <n v="8"/>
  </r>
  <r>
    <n v="334"/>
    <x v="1"/>
    <s v="Los Angeles"/>
    <x v="0"/>
    <x v="0"/>
    <x v="2"/>
    <x v="2"/>
    <n v="17.71"/>
    <n v="13"/>
    <n v="16.12"/>
    <n v="246.35"/>
    <n v="24"/>
  </r>
  <r>
    <n v="335"/>
    <x v="2"/>
    <s v="Chicago"/>
    <x v="0"/>
    <x v="1"/>
    <x v="2"/>
    <x v="2"/>
    <n v="18.25"/>
    <n v="14"/>
    <n v="17.89"/>
    <n v="273.39"/>
    <n v="27"/>
  </r>
  <r>
    <n v="336"/>
    <x v="2"/>
    <s v="Chicago"/>
    <x v="1"/>
    <x v="0"/>
    <x v="0"/>
    <x v="0"/>
    <n v="9.5"/>
    <n v="12"/>
    <n v="7.98"/>
    <n v="121.98"/>
    <n v="0"/>
  </r>
  <r>
    <n v="337"/>
    <x v="0"/>
    <s v="New York"/>
    <x v="0"/>
    <x v="1"/>
    <x v="1"/>
    <x v="1"/>
    <n v="6.5"/>
    <n v="5"/>
    <n v="2.2799999999999998"/>
    <n v="34.78"/>
    <n v="3"/>
  </r>
  <r>
    <n v="338"/>
    <x v="1"/>
    <s v="Los Angeles"/>
    <x v="0"/>
    <x v="1"/>
    <x v="3"/>
    <x v="3"/>
    <n v="9.19"/>
    <n v="2"/>
    <n v="1.29"/>
    <n v="19.670000000000002"/>
    <n v="1"/>
  </r>
  <r>
    <n v="339"/>
    <x v="1"/>
    <s v="Los Angeles"/>
    <x v="0"/>
    <x v="0"/>
    <x v="1"/>
    <x v="1"/>
    <n v="9.59"/>
    <n v="20"/>
    <n v="13.43"/>
    <n v="205.23"/>
    <n v="20"/>
  </r>
  <r>
    <n v="340"/>
    <x v="1"/>
    <s v="Los Angeles"/>
    <x v="0"/>
    <x v="1"/>
    <x v="4"/>
    <x v="4"/>
    <n v="8.85"/>
    <n v="18"/>
    <n v="11.15"/>
    <n v="170.45"/>
    <n v="17"/>
  </r>
  <r>
    <n v="341"/>
    <x v="0"/>
    <s v="New York"/>
    <x v="1"/>
    <x v="0"/>
    <x v="0"/>
    <x v="0"/>
    <n v="7.01"/>
    <n v="12"/>
    <n v="5.89"/>
    <n v="90.01"/>
    <n v="0"/>
  </r>
  <r>
    <n v="342"/>
    <x v="1"/>
    <s v="Los Angeles"/>
    <x v="1"/>
    <x v="0"/>
    <x v="0"/>
    <x v="0"/>
    <n v="15.87"/>
    <n v="2"/>
    <n v="2.2200000000000002"/>
    <n v="33.96"/>
    <n v="0"/>
  </r>
  <r>
    <n v="343"/>
    <x v="2"/>
    <s v="Chicago"/>
    <x v="0"/>
    <x v="0"/>
    <x v="2"/>
    <x v="2"/>
    <n v="4.59"/>
    <n v="13"/>
    <n v="4.18"/>
    <n v="63.85"/>
    <n v="6"/>
  </r>
  <r>
    <n v="344"/>
    <x v="0"/>
    <s v="New York"/>
    <x v="1"/>
    <x v="1"/>
    <x v="2"/>
    <x v="2"/>
    <n v="15.37"/>
    <n v="9"/>
    <n v="9.68"/>
    <n v="148.01"/>
    <n v="0"/>
  </r>
  <r>
    <n v="345"/>
    <x v="0"/>
    <s v="New York"/>
    <x v="1"/>
    <x v="1"/>
    <x v="2"/>
    <x v="2"/>
    <n v="10.07"/>
    <n v="7"/>
    <n v="4.93"/>
    <n v="75.42"/>
    <n v="0"/>
  </r>
  <r>
    <n v="346"/>
    <x v="2"/>
    <s v="Chicago"/>
    <x v="1"/>
    <x v="0"/>
    <x v="1"/>
    <x v="1"/>
    <n v="5.67"/>
    <n v="10"/>
    <n v="3.97"/>
    <n v="60.67"/>
    <n v="0"/>
  </r>
  <r>
    <n v="347"/>
    <x v="1"/>
    <s v="Los Angeles"/>
    <x v="0"/>
    <x v="1"/>
    <x v="1"/>
    <x v="1"/>
    <n v="18.579999999999998"/>
    <n v="9"/>
    <n v="11.71"/>
    <n v="178.93"/>
    <n v="17"/>
  </r>
  <r>
    <n v="348"/>
    <x v="0"/>
    <s v="New York"/>
    <x v="1"/>
    <x v="1"/>
    <x v="0"/>
    <x v="0"/>
    <n v="20.85"/>
    <n v="7"/>
    <n v="10.220000000000001"/>
    <n v="156.16999999999999"/>
    <n v="0"/>
  </r>
  <r>
    <n v="349"/>
    <x v="2"/>
    <s v="Chicago"/>
    <x v="0"/>
    <x v="0"/>
    <x v="2"/>
    <x v="2"/>
    <n v="4.53"/>
    <n v="11"/>
    <n v="3.49"/>
    <n v="53.32"/>
    <n v="5"/>
  </r>
  <r>
    <n v="350"/>
    <x v="0"/>
    <s v="New York"/>
    <x v="0"/>
    <x v="0"/>
    <x v="4"/>
    <x v="4"/>
    <n v="6.89"/>
    <n v="8"/>
    <n v="3.86"/>
    <n v="58.98"/>
    <n v="5"/>
  </r>
  <r>
    <n v="351"/>
    <x v="1"/>
    <s v="Los Angeles"/>
    <x v="0"/>
    <x v="0"/>
    <x v="0"/>
    <x v="0"/>
    <n v="7"/>
    <n v="16"/>
    <n v="7.84"/>
    <n v="119.84"/>
    <n v="11"/>
  </r>
  <r>
    <n v="352"/>
    <x v="1"/>
    <s v="Los Angeles"/>
    <x v="0"/>
    <x v="1"/>
    <x v="4"/>
    <x v="4"/>
    <n v="5.61"/>
    <n v="16"/>
    <n v="6.28"/>
    <n v="96.04"/>
    <n v="9"/>
  </r>
  <r>
    <n v="353"/>
    <x v="1"/>
    <s v="Los Angeles"/>
    <x v="0"/>
    <x v="1"/>
    <x v="0"/>
    <x v="0"/>
    <n v="7.64"/>
    <n v="11"/>
    <n v="5.88"/>
    <n v="89.92"/>
    <n v="8"/>
  </r>
  <r>
    <n v="354"/>
    <x v="1"/>
    <s v="Los Angeles"/>
    <x v="0"/>
    <x v="0"/>
    <x v="4"/>
    <x v="4"/>
    <n v="17.399999999999999"/>
    <n v="9"/>
    <n v="10.96"/>
    <n v="167.56"/>
    <n v="16"/>
  </r>
  <r>
    <n v="355"/>
    <x v="2"/>
    <s v="Chicago"/>
    <x v="1"/>
    <x v="1"/>
    <x v="4"/>
    <x v="4"/>
    <n v="3.76"/>
    <n v="11"/>
    <n v="2.9"/>
    <n v="44.26"/>
    <n v="0"/>
  </r>
  <r>
    <n v="356"/>
    <x v="2"/>
    <s v="Chicago"/>
    <x v="1"/>
    <x v="1"/>
    <x v="4"/>
    <x v="4"/>
    <n v="3.89"/>
    <n v="2"/>
    <n v="0.54"/>
    <n v="8.32"/>
    <n v="0"/>
  </r>
  <r>
    <n v="357"/>
    <x v="1"/>
    <s v="Los Angeles"/>
    <x v="1"/>
    <x v="0"/>
    <x v="3"/>
    <x v="3"/>
    <n v="6.2"/>
    <n v="15"/>
    <n v="6.51"/>
    <n v="99.51"/>
    <n v="0"/>
  </r>
  <r>
    <n v="358"/>
    <x v="0"/>
    <s v="New York"/>
    <x v="1"/>
    <x v="0"/>
    <x v="1"/>
    <x v="1"/>
    <n v="10.36"/>
    <n v="18"/>
    <n v="13.05"/>
    <n v="199.53"/>
    <n v="0"/>
  </r>
  <r>
    <n v="359"/>
    <x v="1"/>
    <s v="Los Angeles"/>
    <x v="1"/>
    <x v="1"/>
    <x v="1"/>
    <x v="1"/>
    <n v="2.58"/>
    <n v="19"/>
    <n v="3.43"/>
    <n v="52.45"/>
    <n v="0"/>
  </r>
  <r>
    <n v="360"/>
    <x v="1"/>
    <s v="Los Angeles"/>
    <x v="1"/>
    <x v="1"/>
    <x v="4"/>
    <x v="4"/>
    <n v="2.12"/>
    <n v="16"/>
    <n v="2.37"/>
    <n v="36.29"/>
    <n v="0"/>
  </r>
  <r>
    <n v="361"/>
    <x v="2"/>
    <s v="Chicago"/>
    <x v="1"/>
    <x v="1"/>
    <x v="0"/>
    <x v="0"/>
    <n v="19.95"/>
    <n v="2"/>
    <n v="2.79"/>
    <n v="42.69"/>
    <n v="0"/>
  </r>
  <r>
    <n v="362"/>
    <x v="2"/>
    <s v="Chicago"/>
    <x v="1"/>
    <x v="1"/>
    <x v="1"/>
    <x v="1"/>
    <n v="19.12"/>
    <n v="17"/>
    <n v="22.75"/>
    <n v="347.79"/>
    <n v="0"/>
  </r>
  <r>
    <n v="363"/>
    <x v="0"/>
    <s v="New York"/>
    <x v="1"/>
    <x v="1"/>
    <x v="0"/>
    <x v="0"/>
    <n v="18.71"/>
    <n v="11"/>
    <n v="14.41"/>
    <n v="220.22"/>
    <n v="0"/>
  </r>
  <r>
    <n v="364"/>
    <x v="0"/>
    <s v="New York"/>
    <x v="0"/>
    <x v="0"/>
    <x v="0"/>
    <x v="0"/>
    <n v="15.13"/>
    <n v="20"/>
    <n v="21.18"/>
    <n v="323.77999999999997"/>
    <n v="32"/>
  </r>
  <r>
    <n v="365"/>
    <x v="1"/>
    <s v="Los Angeles"/>
    <x v="1"/>
    <x v="0"/>
    <x v="4"/>
    <x v="4"/>
    <n v="19.440000000000001"/>
    <n v="19"/>
    <n v="25.86"/>
    <n v="395.22"/>
    <n v="0"/>
  </r>
  <r>
    <n v="366"/>
    <x v="1"/>
    <s v="Los Angeles"/>
    <x v="0"/>
    <x v="0"/>
    <x v="4"/>
    <x v="4"/>
    <n v="19.899999999999999"/>
    <n v="8"/>
    <n v="11.14"/>
    <n v="170.34"/>
    <n v="17"/>
  </r>
  <r>
    <n v="367"/>
    <x v="1"/>
    <s v="Los Angeles"/>
    <x v="0"/>
    <x v="1"/>
    <x v="4"/>
    <x v="4"/>
    <n v="12.2"/>
    <n v="6"/>
    <n v="5.12"/>
    <n v="78.319999999999993"/>
    <n v="7"/>
  </r>
  <r>
    <n v="368"/>
    <x v="0"/>
    <s v="New York"/>
    <x v="1"/>
    <x v="0"/>
    <x v="0"/>
    <x v="0"/>
    <n v="15.99"/>
    <n v="3"/>
    <n v="3.36"/>
    <n v="51.33"/>
    <n v="0"/>
  </r>
  <r>
    <n v="369"/>
    <x v="0"/>
    <s v="New York"/>
    <x v="0"/>
    <x v="1"/>
    <x v="3"/>
    <x v="3"/>
    <n v="12.78"/>
    <n v="8"/>
    <n v="7.16"/>
    <n v="109.4"/>
    <n v="10"/>
  </r>
  <r>
    <n v="370"/>
    <x v="2"/>
    <s v="Chicago"/>
    <x v="0"/>
    <x v="0"/>
    <x v="2"/>
    <x v="2"/>
    <n v="1.1299999999999999"/>
    <n v="1"/>
    <n v="0.08"/>
    <n v="1.21"/>
    <n v="0"/>
  </r>
  <r>
    <n v="371"/>
    <x v="1"/>
    <s v="Los Angeles"/>
    <x v="0"/>
    <x v="1"/>
    <x v="2"/>
    <x v="2"/>
    <n v="4.6100000000000003"/>
    <n v="10"/>
    <n v="3.23"/>
    <n v="49.33"/>
    <n v="4"/>
  </r>
  <r>
    <n v="372"/>
    <x v="0"/>
    <s v="New York"/>
    <x v="0"/>
    <x v="1"/>
    <x v="4"/>
    <x v="4"/>
    <n v="20"/>
    <n v="2"/>
    <n v="2.8"/>
    <n v="42.8"/>
    <n v="4"/>
  </r>
  <r>
    <n v="373"/>
    <x v="0"/>
    <s v="New York"/>
    <x v="0"/>
    <x v="0"/>
    <x v="2"/>
    <x v="2"/>
    <n v="13.7"/>
    <n v="14"/>
    <n v="13.43"/>
    <n v="205.23"/>
    <n v="20"/>
  </r>
  <r>
    <n v="374"/>
    <x v="2"/>
    <s v="Chicago"/>
    <x v="1"/>
    <x v="1"/>
    <x v="0"/>
    <x v="0"/>
    <n v="7.58"/>
    <n v="20"/>
    <n v="10.61"/>
    <n v="162.21"/>
    <n v="0"/>
  </r>
  <r>
    <n v="375"/>
    <x v="1"/>
    <s v="Los Angeles"/>
    <x v="0"/>
    <x v="1"/>
    <x v="1"/>
    <x v="1"/>
    <n v="1.66"/>
    <n v="1"/>
    <n v="0.12"/>
    <n v="1.78"/>
    <n v="0"/>
  </r>
  <r>
    <n v="376"/>
    <x v="1"/>
    <s v="Los Angeles"/>
    <x v="1"/>
    <x v="1"/>
    <x v="1"/>
    <x v="1"/>
    <n v="5.27"/>
    <n v="6"/>
    <n v="2.21"/>
    <n v="33.83"/>
    <n v="0"/>
  </r>
  <r>
    <n v="377"/>
    <x v="0"/>
    <s v="New York"/>
    <x v="1"/>
    <x v="0"/>
    <x v="1"/>
    <x v="1"/>
    <n v="15.04"/>
    <n v="11"/>
    <n v="11.58"/>
    <n v="177.02"/>
    <n v="0"/>
  </r>
  <r>
    <n v="378"/>
    <x v="0"/>
    <s v="New York"/>
    <x v="1"/>
    <x v="1"/>
    <x v="1"/>
    <x v="1"/>
    <n v="2.61"/>
    <n v="12"/>
    <n v="2.19"/>
    <n v="33.51"/>
    <n v="0"/>
  </r>
  <r>
    <n v="379"/>
    <x v="0"/>
    <s v="New York"/>
    <x v="1"/>
    <x v="1"/>
    <x v="4"/>
    <x v="4"/>
    <n v="11.3"/>
    <n v="4"/>
    <n v="3.16"/>
    <n v="48.36"/>
    <n v="0"/>
  </r>
  <r>
    <n v="380"/>
    <x v="1"/>
    <s v="Los Angeles"/>
    <x v="1"/>
    <x v="0"/>
    <x v="3"/>
    <x v="3"/>
    <n v="11.52"/>
    <n v="2"/>
    <n v="1.61"/>
    <n v="24.65"/>
    <n v="0"/>
  </r>
  <r>
    <n v="381"/>
    <x v="2"/>
    <s v="Chicago"/>
    <x v="0"/>
    <x v="0"/>
    <x v="0"/>
    <x v="0"/>
    <n v="8.56"/>
    <n v="17"/>
    <n v="10.19"/>
    <n v="155.71"/>
    <n v="15"/>
  </r>
  <r>
    <n v="382"/>
    <x v="0"/>
    <s v="New York"/>
    <x v="0"/>
    <x v="1"/>
    <x v="3"/>
    <x v="3"/>
    <n v="2.11"/>
    <n v="6"/>
    <n v="0.89"/>
    <n v="13.55"/>
    <n v="1"/>
  </r>
  <r>
    <n v="383"/>
    <x v="2"/>
    <s v="Chicago"/>
    <x v="0"/>
    <x v="1"/>
    <x v="0"/>
    <x v="0"/>
    <n v="15.48"/>
    <n v="11"/>
    <n v="11.92"/>
    <n v="182.2"/>
    <n v="18"/>
  </r>
  <r>
    <n v="384"/>
    <x v="1"/>
    <s v="Los Angeles"/>
    <x v="0"/>
    <x v="0"/>
    <x v="4"/>
    <x v="4"/>
    <n v="3.25"/>
    <n v="20"/>
    <n v="4.55"/>
    <n v="69.55"/>
    <n v="6"/>
  </r>
  <r>
    <n v="385"/>
    <x v="0"/>
    <s v="New York"/>
    <x v="0"/>
    <x v="0"/>
    <x v="1"/>
    <x v="1"/>
    <n v="1.27"/>
    <n v="2"/>
    <n v="0.18"/>
    <n v="2.72"/>
    <n v="0"/>
  </r>
  <r>
    <n v="386"/>
    <x v="1"/>
    <s v="Los Angeles"/>
    <x v="1"/>
    <x v="0"/>
    <x v="3"/>
    <x v="3"/>
    <n v="10.94"/>
    <n v="20"/>
    <n v="15.32"/>
    <n v="234.12"/>
    <n v="0"/>
  </r>
  <r>
    <n v="387"/>
    <x v="0"/>
    <s v="New York"/>
    <x v="0"/>
    <x v="0"/>
    <x v="0"/>
    <x v="0"/>
    <n v="9.43"/>
    <n v="1"/>
    <n v="0.66"/>
    <n v="10.09"/>
    <n v="1"/>
  </r>
  <r>
    <n v="388"/>
    <x v="0"/>
    <s v="New York"/>
    <x v="1"/>
    <x v="0"/>
    <x v="4"/>
    <x v="4"/>
    <n v="11.75"/>
    <n v="14"/>
    <n v="11.52"/>
    <n v="176.02"/>
    <n v="0"/>
  </r>
  <r>
    <n v="389"/>
    <x v="2"/>
    <s v="Chicago"/>
    <x v="0"/>
    <x v="0"/>
    <x v="4"/>
    <x v="4"/>
    <n v="19.88"/>
    <n v="10"/>
    <n v="13.92"/>
    <n v="212.72"/>
    <n v="21"/>
  </r>
  <r>
    <n v="390"/>
    <x v="2"/>
    <s v="Chicago"/>
    <x v="0"/>
    <x v="0"/>
    <x v="4"/>
    <x v="4"/>
    <n v="12.38"/>
    <n v="10"/>
    <n v="8.67"/>
    <n v="132.47"/>
    <n v="13"/>
  </r>
  <r>
    <n v="391"/>
    <x v="1"/>
    <s v="Los Angeles"/>
    <x v="1"/>
    <x v="0"/>
    <x v="2"/>
    <x v="2"/>
    <n v="16.43"/>
    <n v="5"/>
    <n v="5.75"/>
    <n v="87.9"/>
    <n v="0"/>
  </r>
  <r>
    <n v="392"/>
    <x v="1"/>
    <s v="Los Angeles"/>
    <x v="0"/>
    <x v="0"/>
    <x v="3"/>
    <x v="3"/>
    <n v="9.35"/>
    <n v="3"/>
    <n v="1.96"/>
    <n v="30.01"/>
    <n v="3"/>
  </r>
  <r>
    <n v="393"/>
    <x v="0"/>
    <s v="New York"/>
    <x v="1"/>
    <x v="1"/>
    <x v="4"/>
    <x v="4"/>
    <n v="5.19"/>
    <n v="15"/>
    <n v="5.45"/>
    <n v="83.3"/>
    <n v="0"/>
  </r>
  <r>
    <n v="394"/>
    <x v="1"/>
    <s v="Los Angeles"/>
    <x v="0"/>
    <x v="0"/>
    <x v="4"/>
    <x v="4"/>
    <n v="12.07"/>
    <n v="7"/>
    <n v="5.91"/>
    <n v="90.4"/>
    <n v="9"/>
  </r>
  <r>
    <n v="395"/>
    <x v="2"/>
    <s v="Chicago"/>
    <x v="1"/>
    <x v="0"/>
    <x v="4"/>
    <x v="4"/>
    <n v="13.42"/>
    <n v="8"/>
    <n v="7.52"/>
    <n v="114.88"/>
    <n v="0"/>
  </r>
  <r>
    <n v="396"/>
    <x v="1"/>
    <s v="Los Angeles"/>
    <x v="0"/>
    <x v="0"/>
    <x v="1"/>
    <x v="1"/>
    <n v="3.34"/>
    <n v="13"/>
    <n v="3.04"/>
    <n v="46.46"/>
    <n v="4"/>
  </r>
  <r>
    <n v="397"/>
    <x v="1"/>
    <s v="Los Angeles"/>
    <x v="0"/>
    <x v="1"/>
    <x v="1"/>
    <x v="1"/>
    <n v="2.44"/>
    <n v="4"/>
    <n v="0.68"/>
    <n v="10.44"/>
    <n v="1"/>
  </r>
  <r>
    <n v="398"/>
    <x v="0"/>
    <s v="New York"/>
    <x v="1"/>
    <x v="0"/>
    <x v="2"/>
    <x v="2"/>
    <n v="19.170000000000002"/>
    <n v="2"/>
    <n v="2.68"/>
    <n v="41.02"/>
    <n v="0"/>
  </r>
  <r>
    <n v="399"/>
    <x v="2"/>
    <s v="Chicago"/>
    <x v="1"/>
    <x v="1"/>
    <x v="0"/>
    <x v="0"/>
    <n v="6.47"/>
    <n v="19"/>
    <n v="8.61"/>
    <n v="131.54"/>
    <n v="0"/>
  </r>
  <r>
    <n v="400"/>
    <x v="0"/>
    <s v="New York"/>
    <x v="1"/>
    <x v="0"/>
    <x v="1"/>
    <x v="1"/>
    <n v="16.38"/>
    <n v="12"/>
    <n v="13.76"/>
    <n v="210.32"/>
    <n v="0"/>
  </r>
  <r>
    <n v="401"/>
    <x v="1"/>
    <s v="Los Angeles"/>
    <x v="1"/>
    <x v="1"/>
    <x v="3"/>
    <x v="3"/>
    <n v="3.8"/>
    <n v="5"/>
    <n v="1.33"/>
    <n v="20.329999999999998"/>
    <n v="0"/>
  </r>
  <r>
    <n v="402"/>
    <x v="2"/>
    <s v="Chicago"/>
    <x v="1"/>
    <x v="0"/>
    <x v="3"/>
    <x v="3"/>
    <n v="17.600000000000001"/>
    <n v="8"/>
    <n v="9.86"/>
    <n v="150.66"/>
    <n v="0"/>
  </r>
  <r>
    <n v="403"/>
    <x v="0"/>
    <s v="New York"/>
    <x v="0"/>
    <x v="1"/>
    <x v="2"/>
    <x v="2"/>
    <n v="5.09"/>
    <n v="4"/>
    <n v="1.43"/>
    <n v="21.79"/>
    <n v="2"/>
  </r>
  <r>
    <n v="404"/>
    <x v="1"/>
    <s v="Los Angeles"/>
    <x v="0"/>
    <x v="0"/>
    <x v="3"/>
    <x v="3"/>
    <n v="16.329999999999998"/>
    <n v="2"/>
    <n v="2.29"/>
    <n v="34.950000000000003"/>
    <n v="3"/>
  </r>
  <r>
    <n v="405"/>
    <x v="2"/>
    <s v="Chicago"/>
    <x v="1"/>
    <x v="0"/>
    <x v="3"/>
    <x v="3"/>
    <n v="3.4"/>
    <n v="13"/>
    <n v="3.09"/>
    <n v="47.29"/>
    <n v="0"/>
  </r>
  <r>
    <n v="406"/>
    <x v="2"/>
    <s v="Chicago"/>
    <x v="0"/>
    <x v="0"/>
    <x v="3"/>
    <x v="3"/>
    <n v="13.3"/>
    <n v="17"/>
    <n v="15.83"/>
    <n v="241.93"/>
    <n v="24"/>
  </r>
  <r>
    <n v="407"/>
    <x v="1"/>
    <s v="Los Angeles"/>
    <x v="0"/>
    <x v="0"/>
    <x v="1"/>
    <x v="1"/>
    <n v="12.39"/>
    <n v="7"/>
    <n v="6.07"/>
    <n v="92.8"/>
    <n v="9"/>
  </r>
  <r>
    <n v="408"/>
    <x v="2"/>
    <s v="Chicago"/>
    <x v="1"/>
    <x v="1"/>
    <x v="3"/>
    <x v="3"/>
    <n v="2.62"/>
    <n v="14"/>
    <n v="2.57"/>
    <n v="39.25"/>
    <n v="0"/>
  </r>
  <r>
    <n v="409"/>
    <x v="1"/>
    <s v="Los Angeles"/>
    <x v="1"/>
    <x v="1"/>
    <x v="0"/>
    <x v="0"/>
    <n v="18.12"/>
    <n v="2"/>
    <n v="2.54"/>
    <n v="38.78"/>
    <n v="0"/>
  </r>
  <r>
    <n v="410"/>
    <x v="1"/>
    <s v="Los Angeles"/>
    <x v="0"/>
    <x v="1"/>
    <x v="3"/>
    <x v="3"/>
    <n v="7.28"/>
    <n v="18"/>
    <n v="9.17"/>
    <n v="140.21"/>
    <n v="14"/>
  </r>
  <r>
    <n v="411"/>
    <x v="1"/>
    <s v="Los Angeles"/>
    <x v="1"/>
    <x v="0"/>
    <x v="4"/>
    <x v="4"/>
    <n v="17.850000000000001"/>
    <n v="11"/>
    <n v="13.74"/>
    <n v="210.09"/>
    <n v="0"/>
  </r>
  <r>
    <n v="412"/>
    <x v="0"/>
    <s v="New York"/>
    <x v="0"/>
    <x v="0"/>
    <x v="4"/>
    <x v="4"/>
    <n v="6.46"/>
    <n v="6"/>
    <n v="2.71"/>
    <n v="41.47"/>
    <n v="4"/>
  </r>
  <r>
    <n v="413"/>
    <x v="2"/>
    <s v="Chicago"/>
    <x v="0"/>
    <x v="1"/>
    <x v="3"/>
    <x v="3"/>
    <n v="8.7200000000000006"/>
    <n v="5"/>
    <n v="3.05"/>
    <n v="46.65"/>
    <n v="4"/>
  </r>
  <r>
    <n v="414"/>
    <x v="2"/>
    <s v="Chicago"/>
    <x v="1"/>
    <x v="1"/>
    <x v="0"/>
    <x v="0"/>
    <n v="15.92"/>
    <n v="5"/>
    <n v="5.57"/>
    <n v="85.17"/>
    <n v="0"/>
  </r>
  <r>
    <n v="415"/>
    <x v="0"/>
    <s v="New York"/>
    <x v="1"/>
    <x v="0"/>
    <x v="2"/>
    <x v="2"/>
    <n v="15.52"/>
    <n v="8"/>
    <n v="8.69"/>
    <n v="132.85"/>
    <n v="0"/>
  </r>
  <r>
    <n v="416"/>
    <x v="2"/>
    <s v="Chicago"/>
    <x v="0"/>
    <x v="1"/>
    <x v="3"/>
    <x v="3"/>
    <n v="8.26"/>
    <n v="10"/>
    <n v="5.78"/>
    <n v="88.38"/>
    <n v="8"/>
  </r>
  <r>
    <n v="417"/>
    <x v="0"/>
    <s v="New York"/>
    <x v="0"/>
    <x v="1"/>
    <x v="1"/>
    <x v="1"/>
    <n v="13.19"/>
    <n v="17"/>
    <n v="15.7"/>
    <n v="239.93"/>
    <n v="23"/>
  </r>
  <r>
    <n v="418"/>
    <x v="2"/>
    <s v="Chicago"/>
    <x v="0"/>
    <x v="1"/>
    <x v="2"/>
    <x v="2"/>
    <n v="1.21"/>
    <n v="20"/>
    <n v="1.69"/>
    <n v="25.89"/>
    <n v="2"/>
  </r>
  <r>
    <n v="419"/>
    <x v="0"/>
    <s v="New York"/>
    <x v="1"/>
    <x v="0"/>
    <x v="3"/>
    <x v="3"/>
    <n v="20.63"/>
    <n v="11"/>
    <n v="15.89"/>
    <n v="242.82"/>
    <n v="0"/>
  </r>
  <r>
    <n v="420"/>
    <x v="0"/>
    <s v="New York"/>
    <x v="1"/>
    <x v="0"/>
    <x v="4"/>
    <x v="4"/>
    <n v="5.13"/>
    <n v="9"/>
    <n v="3.23"/>
    <n v="49.4"/>
    <n v="0"/>
  </r>
  <r>
    <n v="421"/>
    <x v="1"/>
    <s v="Los Angeles"/>
    <x v="0"/>
    <x v="1"/>
    <x v="0"/>
    <x v="0"/>
    <n v="2.14"/>
    <n v="6"/>
    <n v="0.9"/>
    <n v="13.74"/>
    <n v="1"/>
  </r>
  <r>
    <n v="422"/>
    <x v="0"/>
    <s v="New York"/>
    <x v="0"/>
    <x v="0"/>
    <x v="0"/>
    <x v="0"/>
    <n v="6.85"/>
    <n v="4"/>
    <n v="1.92"/>
    <n v="29.32"/>
    <n v="2"/>
  </r>
  <r>
    <n v="423"/>
    <x v="1"/>
    <s v="Los Angeles"/>
    <x v="1"/>
    <x v="0"/>
    <x v="2"/>
    <x v="2"/>
    <n v="12.59"/>
    <n v="17"/>
    <n v="14.98"/>
    <n v="229.01"/>
    <n v="0"/>
  </r>
  <r>
    <n v="424"/>
    <x v="2"/>
    <s v="Chicago"/>
    <x v="0"/>
    <x v="1"/>
    <x v="0"/>
    <x v="0"/>
    <n v="20.82"/>
    <n v="6"/>
    <n v="8.74"/>
    <n v="133.66"/>
    <n v="13"/>
  </r>
  <r>
    <n v="425"/>
    <x v="1"/>
    <s v="Los Angeles"/>
    <x v="1"/>
    <x v="1"/>
    <x v="4"/>
    <x v="4"/>
    <n v="7.51"/>
    <n v="18"/>
    <n v="9.4600000000000009"/>
    <n v="144.63999999999999"/>
    <n v="0"/>
  </r>
  <r>
    <n v="426"/>
    <x v="2"/>
    <s v="Chicago"/>
    <x v="0"/>
    <x v="0"/>
    <x v="3"/>
    <x v="3"/>
    <n v="4.29"/>
    <n v="20"/>
    <n v="6.01"/>
    <n v="91.81"/>
    <n v="9"/>
  </r>
  <r>
    <n v="427"/>
    <x v="0"/>
    <s v="New York"/>
    <x v="1"/>
    <x v="1"/>
    <x v="2"/>
    <x v="2"/>
    <n v="11.05"/>
    <n v="7"/>
    <n v="5.41"/>
    <n v="82.76"/>
    <n v="0"/>
  </r>
  <r>
    <n v="428"/>
    <x v="2"/>
    <s v="Chicago"/>
    <x v="1"/>
    <x v="0"/>
    <x v="0"/>
    <x v="0"/>
    <n v="17.100000000000001"/>
    <n v="4"/>
    <n v="4.79"/>
    <n v="73.19"/>
    <n v="0"/>
  </r>
  <r>
    <n v="429"/>
    <x v="2"/>
    <s v="Chicago"/>
    <x v="1"/>
    <x v="1"/>
    <x v="3"/>
    <x v="3"/>
    <n v="1.72"/>
    <n v="13"/>
    <n v="1.57"/>
    <n v="23.93"/>
    <n v="0"/>
  </r>
  <r>
    <n v="430"/>
    <x v="2"/>
    <s v="Chicago"/>
    <x v="1"/>
    <x v="1"/>
    <x v="2"/>
    <x v="2"/>
    <n v="17.88"/>
    <n v="13"/>
    <n v="16.27"/>
    <n v="248.71"/>
    <n v="0"/>
  </r>
  <r>
    <n v="431"/>
    <x v="2"/>
    <s v="Chicago"/>
    <x v="0"/>
    <x v="1"/>
    <x v="2"/>
    <x v="2"/>
    <n v="16.239999999999998"/>
    <n v="1"/>
    <n v="1.1399999999999999"/>
    <n v="17.38"/>
    <n v="1"/>
  </r>
  <r>
    <n v="432"/>
    <x v="2"/>
    <s v="Chicago"/>
    <x v="0"/>
    <x v="0"/>
    <x v="1"/>
    <x v="1"/>
    <n v="12.83"/>
    <n v="5"/>
    <n v="4.49"/>
    <n v="68.64"/>
    <n v="6"/>
  </r>
  <r>
    <n v="433"/>
    <x v="1"/>
    <s v="Los Angeles"/>
    <x v="1"/>
    <x v="1"/>
    <x v="0"/>
    <x v="0"/>
    <n v="20.8"/>
    <n v="15"/>
    <n v="21.84"/>
    <n v="333.84"/>
    <n v="0"/>
  </r>
  <r>
    <n v="434"/>
    <x v="1"/>
    <s v="Los Angeles"/>
    <x v="1"/>
    <x v="1"/>
    <x v="4"/>
    <x v="4"/>
    <n v="13.78"/>
    <n v="5"/>
    <n v="4.82"/>
    <n v="73.72"/>
    <n v="0"/>
  </r>
  <r>
    <n v="435"/>
    <x v="0"/>
    <s v="New York"/>
    <x v="1"/>
    <x v="1"/>
    <x v="0"/>
    <x v="0"/>
    <n v="17.32"/>
    <n v="14"/>
    <n v="16.97"/>
    <n v="259.45"/>
    <n v="0"/>
  </r>
  <r>
    <n v="436"/>
    <x v="1"/>
    <s v="Los Angeles"/>
    <x v="0"/>
    <x v="0"/>
    <x v="4"/>
    <x v="4"/>
    <n v="20.09"/>
    <n v="8"/>
    <n v="11.25"/>
    <n v="171.97"/>
    <n v="17"/>
  </r>
  <r>
    <n v="437"/>
    <x v="1"/>
    <s v="Los Angeles"/>
    <x v="0"/>
    <x v="0"/>
    <x v="3"/>
    <x v="3"/>
    <n v="13.92"/>
    <n v="11"/>
    <n v="10.72"/>
    <n v="163.84"/>
    <n v="16"/>
  </r>
  <r>
    <n v="438"/>
    <x v="0"/>
    <s v="New York"/>
    <x v="0"/>
    <x v="0"/>
    <x v="0"/>
    <x v="0"/>
    <n v="15.48"/>
    <n v="3"/>
    <n v="3.25"/>
    <n v="49.69"/>
    <n v="4"/>
  </r>
  <r>
    <n v="439"/>
    <x v="0"/>
    <s v="New York"/>
    <x v="1"/>
    <x v="1"/>
    <x v="4"/>
    <x v="4"/>
    <n v="8.36"/>
    <n v="8"/>
    <n v="4.68"/>
    <n v="71.56"/>
    <n v="0"/>
  </r>
  <r>
    <n v="440"/>
    <x v="2"/>
    <s v="Chicago"/>
    <x v="0"/>
    <x v="1"/>
    <x v="1"/>
    <x v="1"/>
    <n v="6.09"/>
    <n v="3"/>
    <n v="1.28"/>
    <n v="19.55"/>
    <n v="1"/>
  </r>
  <r>
    <n v="441"/>
    <x v="2"/>
    <s v="Chicago"/>
    <x v="1"/>
    <x v="0"/>
    <x v="0"/>
    <x v="0"/>
    <n v="16.82"/>
    <n v="3"/>
    <n v="3.53"/>
    <n v="53.99"/>
    <n v="0"/>
  </r>
  <r>
    <n v="442"/>
    <x v="2"/>
    <s v="Chicago"/>
    <x v="1"/>
    <x v="1"/>
    <x v="0"/>
    <x v="0"/>
    <n v="8.01"/>
    <n v="14"/>
    <n v="7.85"/>
    <n v="119.99"/>
    <n v="0"/>
  </r>
  <r>
    <n v="443"/>
    <x v="2"/>
    <s v="Chicago"/>
    <x v="0"/>
    <x v="1"/>
    <x v="1"/>
    <x v="1"/>
    <n v="12.01"/>
    <n v="9"/>
    <n v="7.57"/>
    <n v="115.66"/>
    <n v="11"/>
  </r>
  <r>
    <n v="444"/>
    <x v="1"/>
    <s v="Los Angeles"/>
    <x v="1"/>
    <x v="1"/>
    <x v="2"/>
    <x v="2"/>
    <n v="8.19"/>
    <n v="8"/>
    <n v="4.59"/>
    <n v="70.11"/>
    <n v="0"/>
  </r>
  <r>
    <n v="445"/>
    <x v="1"/>
    <s v="Los Angeles"/>
    <x v="0"/>
    <x v="1"/>
    <x v="0"/>
    <x v="0"/>
    <n v="16.37"/>
    <n v="2"/>
    <n v="2.29"/>
    <n v="35.03"/>
    <n v="3"/>
  </r>
  <r>
    <n v="446"/>
    <x v="1"/>
    <s v="Los Angeles"/>
    <x v="1"/>
    <x v="0"/>
    <x v="0"/>
    <x v="0"/>
    <n v="10.61"/>
    <n v="20"/>
    <n v="14.85"/>
    <n v="227.05"/>
    <n v="0"/>
  </r>
  <r>
    <n v="447"/>
    <x v="0"/>
    <s v="New York"/>
    <x v="0"/>
    <x v="0"/>
    <x v="1"/>
    <x v="1"/>
    <n v="20.91"/>
    <n v="14"/>
    <n v="20.49"/>
    <n v="313.23"/>
    <n v="31"/>
  </r>
  <r>
    <n v="448"/>
    <x v="0"/>
    <s v="New York"/>
    <x v="1"/>
    <x v="0"/>
    <x v="2"/>
    <x v="2"/>
    <n v="15.32"/>
    <n v="9"/>
    <n v="9.65"/>
    <n v="147.53"/>
    <n v="0"/>
  </r>
  <r>
    <n v="449"/>
    <x v="1"/>
    <s v="Los Angeles"/>
    <x v="0"/>
    <x v="1"/>
    <x v="4"/>
    <x v="4"/>
    <n v="8.89"/>
    <n v="12"/>
    <n v="7.47"/>
    <n v="114.15"/>
    <n v="11"/>
  </r>
  <r>
    <n v="450"/>
    <x v="1"/>
    <s v="Los Angeles"/>
    <x v="1"/>
    <x v="0"/>
    <x v="2"/>
    <x v="2"/>
    <n v="19.55"/>
    <n v="15"/>
    <n v="20.53"/>
    <n v="313.77999999999997"/>
    <n v="0"/>
  </r>
  <r>
    <n v="451"/>
    <x v="0"/>
    <s v="New York"/>
    <x v="1"/>
    <x v="1"/>
    <x v="1"/>
    <x v="1"/>
    <n v="11.16"/>
    <n v="10"/>
    <n v="7.81"/>
    <n v="119.41"/>
    <n v="0"/>
  </r>
  <r>
    <n v="452"/>
    <x v="0"/>
    <s v="New York"/>
    <x v="1"/>
    <x v="0"/>
    <x v="2"/>
    <x v="2"/>
    <n v="16.43"/>
    <n v="5"/>
    <n v="5.75"/>
    <n v="87.9"/>
    <n v="0"/>
  </r>
  <r>
    <n v="453"/>
    <x v="0"/>
    <s v="New York"/>
    <x v="1"/>
    <x v="0"/>
    <x v="3"/>
    <x v="3"/>
    <n v="16.77"/>
    <n v="3"/>
    <n v="3.52"/>
    <n v="53.83"/>
    <n v="0"/>
  </r>
  <r>
    <n v="454"/>
    <x v="1"/>
    <s v="Los Angeles"/>
    <x v="1"/>
    <x v="0"/>
    <x v="2"/>
    <x v="2"/>
    <n v="7.23"/>
    <n v="4"/>
    <n v="2.02"/>
    <n v="30.94"/>
    <n v="0"/>
  </r>
  <r>
    <n v="455"/>
    <x v="2"/>
    <s v="Chicago"/>
    <x v="0"/>
    <x v="0"/>
    <x v="3"/>
    <x v="3"/>
    <n v="9.64"/>
    <n v="16"/>
    <n v="10.8"/>
    <n v="165.04"/>
    <n v="16"/>
  </r>
  <r>
    <n v="456"/>
    <x v="1"/>
    <s v="Los Angeles"/>
    <x v="1"/>
    <x v="1"/>
    <x v="4"/>
    <x v="4"/>
    <n v="13.12"/>
    <n v="8"/>
    <n v="7.35"/>
    <n v="112.31"/>
    <n v="0"/>
  </r>
  <r>
    <n v="457"/>
    <x v="1"/>
    <s v="Los Angeles"/>
    <x v="0"/>
    <x v="0"/>
    <x v="2"/>
    <x v="2"/>
    <n v="13.3"/>
    <n v="3"/>
    <n v="2.79"/>
    <n v="42.69"/>
    <n v="4"/>
  </r>
  <r>
    <n v="458"/>
    <x v="0"/>
    <s v="New York"/>
    <x v="0"/>
    <x v="0"/>
    <x v="2"/>
    <x v="2"/>
    <n v="9.6"/>
    <n v="14"/>
    <n v="9.41"/>
    <n v="143.81"/>
    <n v="14"/>
  </r>
  <r>
    <n v="459"/>
    <x v="0"/>
    <s v="New York"/>
    <x v="1"/>
    <x v="0"/>
    <x v="2"/>
    <x v="2"/>
    <n v="4.37"/>
    <n v="15"/>
    <n v="4.59"/>
    <n v="70.14"/>
    <n v="0"/>
  </r>
  <r>
    <n v="460"/>
    <x v="0"/>
    <s v="New York"/>
    <x v="1"/>
    <x v="1"/>
    <x v="0"/>
    <x v="0"/>
    <n v="9.94"/>
    <n v="1"/>
    <n v="0.7"/>
    <n v="10.64"/>
    <n v="0"/>
  </r>
  <r>
    <n v="461"/>
    <x v="0"/>
    <s v="New York"/>
    <x v="1"/>
    <x v="1"/>
    <x v="4"/>
    <x v="4"/>
    <n v="4.38"/>
    <n v="11"/>
    <n v="3.37"/>
    <n v="51.55"/>
    <n v="0"/>
  </r>
  <r>
    <n v="462"/>
    <x v="1"/>
    <s v="Los Angeles"/>
    <x v="0"/>
    <x v="0"/>
    <x v="2"/>
    <x v="2"/>
    <n v="10.18"/>
    <n v="9"/>
    <n v="6.41"/>
    <n v="98.03"/>
    <n v="9"/>
  </r>
  <r>
    <n v="463"/>
    <x v="1"/>
    <s v="Los Angeles"/>
    <x v="1"/>
    <x v="1"/>
    <x v="4"/>
    <x v="4"/>
    <n v="12.64"/>
    <n v="1"/>
    <n v="0.88"/>
    <n v="13.52"/>
    <n v="0"/>
  </r>
  <r>
    <n v="464"/>
    <x v="1"/>
    <s v="Los Angeles"/>
    <x v="1"/>
    <x v="0"/>
    <x v="2"/>
    <x v="2"/>
    <n v="12.9"/>
    <n v="11"/>
    <n v="9.93"/>
    <n v="151.83000000000001"/>
    <n v="0"/>
  </r>
  <r>
    <n v="465"/>
    <x v="1"/>
    <s v="Los Angeles"/>
    <x v="0"/>
    <x v="1"/>
    <x v="4"/>
    <x v="4"/>
    <n v="17.27"/>
    <n v="19"/>
    <n v="22.97"/>
    <n v="351.1"/>
    <n v="35"/>
  </r>
  <r>
    <n v="466"/>
    <x v="1"/>
    <s v="Los Angeles"/>
    <x v="0"/>
    <x v="0"/>
    <x v="0"/>
    <x v="0"/>
    <n v="18.14"/>
    <n v="6"/>
    <n v="7.62"/>
    <n v="116.46"/>
    <n v="11"/>
  </r>
  <r>
    <n v="467"/>
    <x v="1"/>
    <s v="Los Angeles"/>
    <x v="0"/>
    <x v="1"/>
    <x v="4"/>
    <x v="4"/>
    <n v="19.87"/>
    <n v="7"/>
    <n v="9.74"/>
    <n v="148.83000000000001"/>
    <n v="14"/>
  </r>
  <r>
    <n v="468"/>
    <x v="1"/>
    <s v="Los Angeles"/>
    <x v="1"/>
    <x v="1"/>
    <x v="4"/>
    <x v="4"/>
    <n v="10.5"/>
    <n v="7"/>
    <n v="5.15"/>
    <n v="78.650000000000006"/>
    <n v="0"/>
  </r>
  <r>
    <n v="469"/>
    <x v="2"/>
    <s v="Chicago"/>
    <x v="1"/>
    <x v="0"/>
    <x v="1"/>
    <x v="1"/>
    <n v="15.98"/>
    <n v="6"/>
    <n v="6.71"/>
    <n v="102.59"/>
    <n v="0"/>
  </r>
  <r>
    <n v="470"/>
    <x v="1"/>
    <s v="Los Angeles"/>
    <x v="1"/>
    <x v="1"/>
    <x v="1"/>
    <x v="1"/>
    <n v="2.97"/>
    <n v="1"/>
    <n v="0.21"/>
    <n v="3.18"/>
    <n v="0"/>
  </r>
  <r>
    <n v="471"/>
    <x v="2"/>
    <s v="Chicago"/>
    <x v="0"/>
    <x v="1"/>
    <x v="1"/>
    <x v="1"/>
    <n v="1.52"/>
    <n v="8"/>
    <n v="0.85"/>
    <n v="13.01"/>
    <n v="1"/>
  </r>
  <r>
    <n v="472"/>
    <x v="0"/>
    <s v="New York"/>
    <x v="1"/>
    <x v="1"/>
    <x v="0"/>
    <x v="0"/>
    <n v="5.38"/>
    <n v="11"/>
    <n v="4.1399999999999997"/>
    <n v="63.32"/>
    <n v="0"/>
  </r>
  <r>
    <n v="473"/>
    <x v="2"/>
    <s v="Chicago"/>
    <x v="0"/>
    <x v="0"/>
    <x v="2"/>
    <x v="2"/>
    <n v="12.89"/>
    <n v="12"/>
    <n v="10.83"/>
    <n v="165.51"/>
    <n v="16"/>
  </r>
  <r>
    <n v="474"/>
    <x v="1"/>
    <s v="Los Angeles"/>
    <x v="1"/>
    <x v="0"/>
    <x v="0"/>
    <x v="0"/>
    <n v="4.9400000000000004"/>
    <n v="5"/>
    <n v="1.73"/>
    <n v="26.43"/>
    <n v="0"/>
  </r>
  <r>
    <n v="475"/>
    <x v="2"/>
    <s v="Chicago"/>
    <x v="0"/>
    <x v="0"/>
    <x v="4"/>
    <x v="4"/>
    <n v="18.18"/>
    <n v="17"/>
    <n v="21.63"/>
    <n v="330.69"/>
    <n v="33"/>
  </r>
  <r>
    <n v="476"/>
    <x v="1"/>
    <s v="Los Angeles"/>
    <x v="1"/>
    <x v="1"/>
    <x v="3"/>
    <x v="3"/>
    <n v="7.95"/>
    <n v="1"/>
    <n v="0.56000000000000005"/>
    <n v="8.51"/>
    <n v="0"/>
  </r>
  <r>
    <n v="477"/>
    <x v="1"/>
    <s v="Los Angeles"/>
    <x v="1"/>
    <x v="1"/>
    <x v="1"/>
    <x v="1"/>
    <n v="11.44"/>
    <n v="6"/>
    <n v="4.8"/>
    <n v="73.44"/>
    <n v="0"/>
  </r>
  <r>
    <n v="478"/>
    <x v="0"/>
    <s v="New York"/>
    <x v="1"/>
    <x v="0"/>
    <x v="1"/>
    <x v="1"/>
    <n v="20.39"/>
    <n v="1"/>
    <n v="1.43"/>
    <n v="21.82"/>
    <n v="0"/>
  </r>
  <r>
    <n v="479"/>
    <x v="1"/>
    <s v="Los Angeles"/>
    <x v="0"/>
    <x v="1"/>
    <x v="2"/>
    <x v="2"/>
    <n v="18.899999999999999"/>
    <n v="3"/>
    <n v="3.97"/>
    <n v="60.67"/>
    <n v="6"/>
  </r>
  <r>
    <n v="480"/>
    <x v="2"/>
    <s v="Chicago"/>
    <x v="1"/>
    <x v="0"/>
    <x v="1"/>
    <x v="1"/>
    <n v="14.42"/>
    <n v="10"/>
    <n v="10.09"/>
    <n v="154.29"/>
    <n v="0"/>
  </r>
  <r>
    <n v="481"/>
    <x v="0"/>
    <s v="New York"/>
    <x v="0"/>
    <x v="1"/>
    <x v="1"/>
    <x v="1"/>
    <n v="9.65"/>
    <n v="11"/>
    <n v="7.43"/>
    <n v="113.58"/>
    <n v="11"/>
  </r>
  <r>
    <n v="482"/>
    <x v="2"/>
    <s v="Chicago"/>
    <x v="1"/>
    <x v="0"/>
    <x v="3"/>
    <x v="3"/>
    <n v="12.14"/>
    <n v="17"/>
    <n v="14.45"/>
    <n v="220.83"/>
    <n v="0"/>
  </r>
  <r>
    <n v="483"/>
    <x v="2"/>
    <s v="Chicago"/>
    <x v="0"/>
    <x v="0"/>
    <x v="2"/>
    <x v="2"/>
    <n v="10.7"/>
    <n v="11"/>
    <n v="8.24"/>
    <n v="125.94"/>
    <n v="12"/>
  </r>
  <r>
    <n v="484"/>
    <x v="0"/>
    <s v="New York"/>
    <x v="1"/>
    <x v="0"/>
    <x v="4"/>
    <x v="4"/>
    <n v="11.66"/>
    <n v="12"/>
    <n v="9.7899999999999991"/>
    <n v="149.71"/>
    <n v="0"/>
  </r>
  <r>
    <n v="485"/>
    <x v="2"/>
    <s v="Chicago"/>
    <x v="1"/>
    <x v="1"/>
    <x v="4"/>
    <x v="4"/>
    <n v="12.57"/>
    <n v="16"/>
    <n v="14.08"/>
    <n v="215.2"/>
    <n v="0"/>
  </r>
  <r>
    <n v="486"/>
    <x v="1"/>
    <s v="Los Angeles"/>
    <x v="1"/>
    <x v="1"/>
    <x v="2"/>
    <x v="2"/>
    <n v="1.51"/>
    <n v="2"/>
    <n v="0.21"/>
    <n v="3.23"/>
    <n v="0"/>
  </r>
  <r>
    <n v="487"/>
    <x v="0"/>
    <s v="New York"/>
    <x v="1"/>
    <x v="0"/>
    <x v="2"/>
    <x v="2"/>
    <n v="8.2799999999999994"/>
    <n v="9"/>
    <n v="5.22"/>
    <n v="79.739999999999995"/>
    <n v="0"/>
  </r>
  <r>
    <n v="488"/>
    <x v="0"/>
    <s v="New York"/>
    <x v="0"/>
    <x v="0"/>
    <x v="3"/>
    <x v="3"/>
    <n v="10.1"/>
    <n v="20"/>
    <n v="14.14"/>
    <n v="216.14"/>
    <n v="21"/>
  </r>
  <r>
    <n v="489"/>
    <x v="1"/>
    <s v="Los Angeles"/>
    <x v="1"/>
    <x v="0"/>
    <x v="1"/>
    <x v="1"/>
    <n v="6.03"/>
    <n v="5"/>
    <n v="2.11"/>
    <n v="32.26"/>
    <n v="0"/>
  </r>
  <r>
    <n v="490"/>
    <x v="0"/>
    <s v="New York"/>
    <x v="0"/>
    <x v="1"/>
    <x v="4"/>
    <x v="4"/>
    <n v="20.149999999999999"/>
    <n v="6"/>
    <n v="8.4600000000000009"/>
    <n v="129.36000000000001"/>
    <n v="12"/>
  </r>
  <r>
    <n v="491"/>
    <x v="0"/>
    <s v="New York"/>
    <x v="1"/>
    <x v="0"/>
    <x v="3"/>
    <x v="3"/>
    <n v="1.4"/>
    <n v="10"/>
    <n v="0.98"/>
    <n v="14.98"/>
    <n v="0"/>
  </r>
  <r>
    <n v="492"/>
    <x v="1"/>
    <s v="Los Angeles"/>
    <x v="0"/>
    <x v="0"/>
    <x v="2"/>
    <x v="2"/>
    <n v="14.04"/>
    <n v="11"/>
    <n v="10.81"/>
    <n v="165.25"/>
    <n v="16"/>
  </r>
  <r>
    <n v="493"/>
    <x v="0"/>
    <s v="New York"/>
    <x v="1"/>
    <x v="0"/>
    <x v="1"/>
    <x v="1"/>
    <n v="17.02"/>
    <n v="20"/>
    <n v="23.83"/>
    <n v="364.23"/>
    <n v="0"/>
  </r>
  <r>
    <n v="494"/>
    <x v="1"/>
    <s v="Los Angeles"/>
    <x v="1"/>
    <x v="0"/>
    <x v="2"/>
    <x v="2"/>
    <n v="17.96"/>
    <n v="8"/>
    <n v="10.06"/>
    <n v="153.74"/>
    <n v="0"/>
  </r>
  <r>
    <n v="495"/>
    <x v="0"/>
    <s v="New York"/>
    <x v="1"/>
    <x v="0"/>
    <x v="1"/>
    <x v="1"/>
    <n v="8.3000000000000007"/>
    <n v="8"/>
    <n v="4.6500000000000004"/>
    <n v="71.05"/>
    <n v="0"/>
  </r>
  <r>
    <n v="496"/>
    <x v="2"/>
    <s v="Chicago"/>
    <x v="0"/>
    <x v="0"/>
    <x v="1"/>
    <x v="1"/>
    <n v="1.7"/>
    <n v="12"/>
    <n v="1.43"/>
    <n v="21.83"/>
    <n v="2"/>
  </r>
  <r>
    <n v="497"/>
    <x v="2"/>
    <s v="Chicago"/>
    <x v="0"/>
    <x v="0"/>
    <x v="1"/>
    <x v="1"/>
    <n v="4.09"/>
    <n v="18"/>
    <n v="5.15"/>
    <n v="78.77"/>
    <n v="7"/>
  </r>
  <r>
    <n v="498"/>
    <x v="1"/>
    <s v="Los Angeles"/>
    <x v="1"/>
    <x v="0"/>
    <x v="3"/>
    <x v="3"/>
    <n v="12.82"/>
    <n v="5"/>
    <n v="4.49"/>
    <n v="68.59"/>
    <n v="0"/>
  </r>
  <r>
    <n v="499"/>
    <x v="2"/>
    <s v="Chicago"/>
    <x v="0"/>
    <x v="1"/>
    <x v="1"/>
    <x v="1"/>
    <n v="4.7300000000000004"/>
    <n v="16"/>
    <n v="5.3"/>
    <n v="80.98"/>
    <n v="8"/>
  </r>
  <r>
    <n v="500"/>
    <x v="2"/>
    <s v="Chicago"/>
    <x v="1"/>
    <x v="1"/>
    <x v="0"/>
    <x v="0"/>
    <n v="17.48"/>
    <n v="14"/>
    <n v="17.13"/>
    <n v="261.85000000000002"/>
    <n v="0"/>
  </r>
  <r>
    <n v="501"/>
    <x v="0"/>
    <s v="New York"/>
    <x v="1"/>
    <x v="0"/>
    <x v="1"/>
    <x v="1"/>
    <n v="20.96"/>
    <n v="12"/>
    <n v="17.61"/>
    <n v="269.13"/>
    <n v="0"/>
  </r>
  <r>
    <n v="502"/>
    <x v="1"/>
    <s v="Los Angeles"/>
    <x v="0"/>
    <x v="0"/>
    <x v="1"/>
    <x v="1"/>
    <n v="12.33"/>
    <n v="6"/>
    <n v="5.18"/>
    <n v="79.16"/>
    <n v="7"/>
  </r>
  <r>
    <n v="503"/>
    <x v="0"/>
    <s v="New York"/>
    <x v="1"/>
    <x v="1"/>
    <x v="4"/>
    <x v="4"/>
    <n v="16.239999999999998"/>
    <n v="20"/>
    <n v="22.74"/>
    <n v="347.54"/>
    <n v="0"/>
  </r>
  <r>
    <n v="504"/>
    <x v="1"/>
    <s v="Los Angeles"/>
    <x v="1"/>
    <x v="0"/>
    <x v="0"/>
    <x v="0"/>
    <n v="2.73"/>
    <n v="6"/>
    <n v="1.1499999999999999"/>
    <n v="17.53"/>
    <n v="0"/>
  </r>
  <r>
    <n v="505"/>
    <x v="2"/>
    <s v="Chicago"/>
    <x v="0"/>
    <x v="0"/>
    <x v="3"/>
    <x v="3"/>
    <n v="3.43"/>
    <n v="19"/>
    <n v="4.5599999999999996"/>
    <n v="69.73"/>
    <n v="6"/>
  </r>
  <r>
    <n v="506"/>
    <x v="2"/>
    <s v="Chicago"/>
    <x v="1"/>
    <x v="0"/>
    <x v="2"/>
    <x v="2"/>
    <n v="14.14"/>
    <n v="12"/>
    <n v="11.88"/>
    <n v="181.56"/>
    <n v="0"/>
  </r>
  <r>
    <n v="507"/>
    <x v="1"/>
    <s v="Los Angeles"/>
    <x v="1"/>
    <x v="0"/>
    <x v="4"/>
    <x v="4"/>
    <n v="5.17"/>
    <n v="15"/>
    <n v="5.43"/>
    <n v="82.98"/>
    <n v="0"/>
  </r>
  <r>
    <n v="508"/>
    <x v="0"/>
    <s v="New York"/>
    <x v="0"/>
    <x v="1"/>
    <x v="4"/>
    <x v="4"/>
    <n v="14.16"/>
    <n v="4"/>
    <n v="3.96"/>
    <n v="60.6"/>
    <n v="6"/>
  </r>
  <r>
    <n v="509"/>
    <x v="2"/>
    <s v="Chicago"/>
    <x v="1"/>
    <x v="1"/>
    <x v="4"/>
    <x v="4"/>
    <n v="20.51"/>
    <n v="2"/>
    <n v="2.87"/>
    <n v="43.89"/>
    <n v="0"/>
  </r>
  <r>
    <n v="510"/>
    <x v="2"/>
    <s v="Chicago"/>
    <x v="0"/>
    <x v="1"/>
    <x v="0"/>
    <x v="0"/>
    <n v="15.44"/>
    <n v="20"/>
    <n v="21.62"/>
    <n v="330.42"/>
    <n v="33"/>
  </r>
  <r>
    <n v="511"/>
    <x v="0"/>
    <s v="New York"/>
    <x v="0"/>
    <x v="1"/>
    <x v="1"/>
    <x v="1"/>
    <n v="20.48"/>
    <n v="17"/>
    <n v="24.37"/>
    <n v="372.53"/>
    <n v="37"/>
  </r>
  <r>
    <n v="512"/>
    <x v="2"/>
    <s v="Chicago"/>
    <x v="0"/>
    <x v="0"/>
    <x v="0"/>
    <x v="0"/>
    <n v="13.15"/>
    <n v="1"/>
    <n v="0.92"/>
    <n v="14.07"/>
    <n v="1"/>
  </r>
  <r>
    <n v="513"/>
    <x v="2"/>
    <s v="Chicago"/>
    <x v="0"/>
    <x v="1"/>
    <x v="3"/>
    <x v="3"/>
    <n v="1.35"/>
    <n v="1"/>
    <n v="0.09"/>
    <n v="1.44"/>
    <n v="0"/>
  </r>
  <r>
    <n v="514"/>
    <x v="1"/>
    <s v="Los Angeles"/>
    <x v="1"/>
    <x v="0"/>
    <x v="3"/>
    <x v="3"/>
    <n v="18.09"/>
    <n v="6"/>
    <n v="7.6"/>
    <n v="116.14"/>
    <n v="0"/>
  </r>
  <r>
    <n v="515"/>
    <x v="0"/>
    <s v="New York"/>
    <x v="1"/>
    <x v="0"/>
    <x v="3"/>
    <x v="3"/>
    <n v="8.75"/>
    <n v="8"/>
    <n v="4.9000000000000004"/>
    <n v="74.900000000000006"/>
    <n v="0"/>
  </r>
  <r>
    <n v="516"/>
    <x v="1"/>
    <s v="Los Angeles"/>
    <x v="1"/>
    <x v="1"/>
    <x v="3"/>
    <x v="3"/>
    <n v="1.81"/>
    <n v="17"/>
    <n v="2.15"/>
    <n v="32.92"/>
    <n v="0"/>
  </r>
  <r>
    <n v="517"/>
    <x v="2"/>
    <s v="Chicago"/>
    <x v="0"/>
    <x v="0"/>
    <x v="0"/>
    <x v="0"/>
    <n v="6.19"/>
    <n v="8"/>
    <n v="3.47"/>
    <n v="52.99"/>
    <n v="5"/>
  </r>
  <r>
    <n v="518"/>
    <x v="0"/>
    <s v="New York"/>
    <x v="0"/>
    <x v="0"/>
    <x v="3"/>
    <x v="3"/>
    <n v="10.1"/>
    <n v="1"/>
    <n v="0.71"/>
    <n v="10.81"/>
    <n v="1"/>
  </r>
  <r>
    <n v="519"/>
    <x v="1"/>
    <s v="Los Angeles"/>
    <x v="0"/>
    <x v="1"/>
    <x v="3"/>
    <x v="3"/>
    <n v="6.51"/>
    <n v="9"/>
    <n v="4.0999999999999996"/>
    <n v="62.69"/>
    <n v="6"/>
  </r>
  <r>
    <n v="520"/>
    <x v="2"/>
    <s v="Chicago"/>
    <x v="0"/>
    <x v="0"/>
    <x v="2"/>
    <x v="2"/>
    <n v="1.88"/>
    <n v="3"/>
    <n v="0.39"/>
    <n v="6.03"/>
    <n v="0"/>
  </r>
  <r>
    <n v="521"/>
    <x v="2"/>
    <s v="Chicago"/>
    <x v="1"/>
    <x v="1"/>
    <x v="0"/>
    <x v="0"/>
    <n v="13.79"/>
    <n v="3"/>
    <n v="2.9"/>
    <n v="44.27"/>
    <n v="0"/>
  </r>
  <r>
    <n v="522"/>
    <x v="2"/>
    <s v="Chicago"/>
    <x v="1"/>
    <x v="1"/>
    <x v="1"/>
    <x v="1"/>
    <n v="20.23"/>
    <n v="18"/>
    <n v="25.49"/>
    <n v="389.63"/>
    <n v="0"/>
  </r>
  <r>
    <n v="523"/>
    <x v="2"/>
    <s v="Chicago"/>
    <x v="1"/>
    <x v="0"/>
    <x v="2"/>
    <x v="2"/>
    <n v="17.8"/>
    <n v="2"/>
    <n v="2.4900000000000002"/>
    <n v="38.090000000000003"/>
    <n v="0"/>
  </r>
  <r>
    <n v="524"/>
    <x v="1"/>
    <s v="Los Angeles"/>
    <x v="0"/>
    <x v="0"/>
    <x v="3"/>
    <x v="3"/>
    <n v="7.53"/>
    <n v="15"/>
    <n v="7.91"/>
    <n v="120.86"/>
    <n v="12"/>
  </r>
  <r>
    <n v="525"/>
    <x v="1"/>
    <s v="Los Angeles"/>
    <x v="1"/>
    <x v="1"/>
    <x v="0"/>
    <x v="0"/>
    <n v="9.51"/>
    <n v="12"/>
    <n v="7.99"/>
    <n v="122.11"/>
    <n v="0"/>
  </r>
  <r>
    <n v="526"/>
    <x v="2"/>
    <s v="Chicago"/>
    <x v="1"/>
    <x v="1"/>
    <x v="3"/>
    <x v="3"/>
    <n v="1.68"/>
    <n v="7"/>
    <n v="0.82"/>
    <n v="12.58"/>
    <n v="0"/>
  </r>
  <r>
    <n v="527"/>
    <x v="0"/>
    <s v="New York"/>
    <x v="0"/>
    <x v="0"/>
    <x v="2"/>
    <x v="2"/>
    <n v="12.2"/>
    <n v="16"/>
    <n v="13.66"/>
    <n v="208.86"/>
    <n v="20"/>
  </r>
  <r>
    <n v="528"/>
    <x v="1"/>
    <s v="Los Angeles"/>
    <x v="0"/>
    <x v="1"/>
    <x v="3"/>
    <x v="3"/>
    <n v="6.04"/>
    <n v="13"/>
    <n v="5.5"/>
    <n v="84.02"/>
    <n v="8"/>
  </r>
  <r>
    <n v="529"/>
    <x v="1"/>
    <s v="Los Angeles"/>
    <x v="1"/>
    <x v="1"/>
    <x v="0"/>
    <x v="0"/>
    <n v="1.63"/>
    <n v="13"/>
    <n v="1.48"/>
    <n v="22.67"/>
    <n v="0"/>
  </r>
  <r>
    <n v="530"/>
    <x v="2"/>
    <s v="Chicago"/>
    <x v="1"/>
    <x v="1"/>
    <x v="3"/>
    <x v="3"/>
    <n v="10.77"/>
    <n v="18"/>
    <n v="13.57"/>
    <n v="207.43"/>
    <n v="0"/>
  </r>
  <r>
    <n v="531"/>
    <x v="1"/>
    <s v="Los Angeles"/>
    <x v="1"/>
    <x v="0"/>
    <x v="3"/>
    <x v="3"/>
    <n v="9.67"/>
    <n v="18"/>
    <n v="12.18"/>
    <n v="186.24"/>
    <n v="0"/>
  </r>
  <r>
    <n v="532"/>
    <x v="0"/>
    <s v="New York"/>
    <x v="1"/>
    <x v="0"/>
    <x v="0"/>
    <x v="0"/>
    <n v="17.53"/>
    <n v="8"/>
    <n v="9.82"/>
    <n v="150.06"/>
    <n v="0"/>
  </r>
  <r>
    <n v="533"/>
    <x v="0"/>
    <s v="New York"/>
    <x v="0"/>
    <x v="0"/>
    <x v="4"/>
    <x v="4"/>
    <n v="4.96"/>
    <n v="11"/>
    <n v="3.82"/>
    <n v="58.38"/>
    <n v="5"/>
  </r>
  <r>
    <n v="534"/>
    <x v="0"/>
    <s v="New York"/>
    <x v="1"/>
    <x v="0"/>
    <x v="3"/>
    <x v="3"/>
    <n v="7.84"/>
    <n v="3"/>
    <n v="1.65"/>
    <n v="25.17"/>
    <n v="0"/>
  </r>
  <r>
    <n v="535"/>
    <x v="2"/>
    <s v="Chicago"/>
    <x v="0"/>
    <x v="0"/>
    <x v="1"/>
    <x v="1"/>
    <n v="17.399999999999999"/>
    <n v="8"/>
    <n v="9.74"/>
    <n v="148.94"/>
    <n v="14"/>
  </r>
  <r>
    <n v="536"/>
    <x v="2"/>
    <s v="Chicago"/>
    <x v="1"/>
    <x v="0"/>
    <x v="2"/>
    <x v="2"/>
    <n v="12.52"/>
    <n v="5"/>
    <n v="4.38"/>
    <n v="66.98"/>
    <n v="0"/>
  </r>
  <r>
    <n v="537"/>
    <x v="0"/>
    <s v="New York"/>
    <x v="1"/>
    <x v="0"/>
    <x v="4"/>
    <x v="4"/>
    <n v="13.59"/>
    <n v="11"/>
    <n v="10.46"/>
    <n v="159.94999999999999"/>
    <n v="0"/>
  </r>
  <r>
    <n v="538"/>
    <x v="0"/>
    <s v="New York"/>
    <x v="0"/>
    <x v="1"/>
    <x v="1"/>
    <x v="1"/>
    <n v="10.77"/>
    <n v="14"/>
    <n v="10.55"/>
    <n v="161.33000000000001"/>
    <n v="16"/>
  </r>
  <r>
    <n v="539"/>
    <x v="2"/>
    <s v="Chicago"/>
    <x v="1"/>
    <x v="0"/>
    <x v="1"/>
    <x v="1"/>
    <n v="16.63"/>
    <n v="19"/>
    <n v="22.12"/>
    <n v="338.09"/>
    <n v="0"/>
  </r>
  <r>
    <n v="540"/>
    <x v="0"/>
    <s v="New York"/>
    <x v="1"/>
    <x v="0"/>
    <x v="0"/>
    <x v="0"/>
    <n v="19.920000000000002"/>
    <n v="5"/>
    <n v="6.97"/>
    <n v="106.57"/>
    <n v="0"/>
  </r>
  <r>
    <n v="541"/>
    <x v="2"/>
    <s v="Chicago"/>
    <x v="1"/>
    <x v="1"/>
    <x v="4"/>
    <x v="4"/>
    <n v="14.49"/>
    <n v="2"/>
    <n v="2.0299999999999998"/>
    <n v="31.01"/>
    <n v="0"/>
  </r>
  <r>
    <n v="542"/>
    <x v="0"/>
    <s v="New York"/>
    <x v="0"/>
    <x v="0"/>
    <x v="4"/>
    <x v="4"/>
    <n v="9.6999999999999993"/>
    <n v="18"/>
    <n v="12.22"/>
    <n v="186.82"/>
    <n v="18"/>
  </r>
  <r>
    <n v="543"/>
    <x v="0"/>
    <s v="New York"/>
    <x v="0"/>
    <x v="0"/>
    <x v="2"/>
    <x v="2"/>
    <n v="5.16"/>
    <n v="20"/>
    <n v="7.22"/>
    <n v="110.42"/>
    <n v="11"/>
  </r>
  <r>
    <n v="544"/>
    <x v="2"/>
    <s v="Chicago"/>
    <x v="1"/>
    <x v="0"/>
    <x v="2"/>
    <x v="2"/>
    <n v="15.69"/>
    <n v="13"/>
    <n v="14.28"/>
    <n v="218.25"/>
    <n v="0"/>
  </r>
  <r>
    <n v="545"/>
    <x v="1"/>
    <s v="Los Angeles"/>
    <x v="1"/>
    <x v="0"/>
    <x v="1"/>
    <x v="1"/>
    <n v="14.05"/>
    <n v="2"/>
    <n v="1.97"/>
    <n v="30.07"/>
    <n v="0"/>
  </r>
  <r>
    <n v="546"/>
    <x v="2"/>
    <s v="Chicago"/>
    <x v="1"/>
    <x v="1"/>
    <x v="0"/>
    <x v="0"/>
    <n v="15.5"/>
    <n v="2"/>
    <n v="2.17"/>
    <n v="33.17"/>
    <n v="0"/>
  </r>
  <r>
    <n v="547"/>
    <x v="2"/>
    <s v="Chicago"/>
    <x v="1"/>
    <x v="0"/>
    <x v="4"/>
    <x v="4"/>
    <n v="11.2"/>
    <n v="14"/>
    <n v="10.98"/>
    <n v="167.78"/>
    <n v="0"/>
  </r>
  <r>
    <n v="548"/>
    <x v="0"/>
    <s v="New York"/>
    <x v="0"/>
    <x v="0"/>
    <x v="3"/>
    <x v="3"/>
    <n v="4.42"/>
    <n v="18"/>
    <n v="5.57"/>
    <n v="85.13"/>
    <n v="8"/>
  </r>
  <r>
    <n v="549"/>
    <x v="0"/>
    <s v="New York"/>
    <x v="0"/>
    <x v="1"/>
    <x v="4"/>
    <x v="4"/>
    <n v="14.48"/>
    <n v="7"/>
    <n v="7.1"/>
    <n v="108.46"/>
    <n v="10"/>
  </r>
  <r>
    <n v="550"/>
    <x v="1"/>
    <s v="Los Angeles"/>
    <x v="0"/>
    <x v="1"/>
    <x v="0"/>
    <x v="0"/>
    <n v="3.05"/>
    <n v="17"/>
    <n v="3.63"/>
    <n v="55.48"/>
    <n v="5"/>
  </r>
  <r>
    <n v="551"/>
    <x v="2"/>
    <s v="Chicago"/>
    <x v="1"/>
    <x v="1"/>
    <x v="2"/>
    <x v="2"/>
    <n v="9.83"/>
    <n v="13"/>
    <n v="8.9499999999999993"/>
    <n v="136.74"/>
    <n v="0"/>
  </r>
  <r>
    <n v="552"/>
    <x v="2"/>
    <s v="Chicago"/>
    <x v="0"/>
    <x v="1"/>
    <x v="1"/>
    <x v="1"/>
    <n v="9"/>
    <n v="1"/>
    <n v="0.63"/>
    <n v="9.6300000000000008"/>
    <n v="0"/>
  </r>
  <r>
    <n v="553"/>
    <x v="0"/>
    <s v="New York"/>
    <x v="1"/>
    <x v="0"/>
    <x v="1"/>
    <x v="1"/>
    <n v="4.1900000000000004"/>
    <n v="17"/>
    <n v="4.99"/>
    <n v="76.22"/>
    <n v="0"/>
  </r>
  <r>
    <n v="554"/>
    <x v="0"/>
    <s v="New York"/>
    <x v="1"/>
    <x v="0"/>
    <x v="2"/>
    <x v="2"/>
    <n v="20.87"/>
    <n v="1"/>
    <n v="1.46"/>
    <n v="22.33"/>
    <n v="0"/>
  </r>
  <r>
    <n v="555"/>
    <x v="0"/>
    <s v="New York"/>
    <x v="1"/>
    <x v="1"/>
    <x v="3"/>
    <x v="3"/>
    <n v="13.19"/>
    <n v="16"/>
    <n v="14.77"/>
    <n v="225.81"/>
    <n v="0"/>
  </r>
  <r>
    <n v="556"/>
    <x v="2"/>
    <s v="Chicago"/>
    <x v="0"/>
    <x v="0"/>
    <x v="2"/>
    <x v="2"/>
    <n v="11.38"/>
    <n v="7"/>
    <n v="5.58"/>
    <n v="85.24"/>
    <n v="8"/>
  </r>
  <r>
    <n v="557"/>
    <x v="2"/>
    <s v="Chicago"/>
    <x v="1"/>
    <x v="1"/>
    <x v="1"/>
    <x v="1"/>
    <n v="2.77"/>
    <n v="19"/>
    <n v="3.68"/>
    <n v="56.31"/>
    <n v="0"/>
  </r>
  <r>
    <n v="558"/>
    <x v="1"/>
    <s v="Los Angeles"/>
    <x v="1"/>
    <x v="1"/>
    <x v="3"/>
    <x v="3"/>
    <n v="15.56"/>
    <n v="1"/>
    <n v="1.0900000000000001"/>
    <n v="16.649999999999999"/>
    <n v="0"/>
  </r>
  <r>
    <n v="559"/>
    <x v="0"/>
    <s v="New York"/>
    <x v="1"/>
    <x v="1"/>
    <x v="2"/>
    <x v="2"/>
    <n v="5.88"/>
    <n v="19"/>
    <n v="7.82"/>
    <n v="119.54"/>
    <n v="0"/>
  </r>
  <r>
    <n v="560"/>
    <x v="0"/>
    <s v="New York"/>
    <x v="1"/>
    <x v="0"/>
    <x v="1"/>
    <x v="1"/>
    <n v="19.03"/>
    <n v="13"/>
    <n v="17.32"/>
    <n v="264.70999999999998"/>
    <n v="0"/>
  </r>
  <r>
    <n v="561"/>
    <x v="0"/>
    <s v="New York"/>
    <x v="0"/>
    <x v="1"/>
    <x v="2"/>
    <x v="2"/>
    <n v="16.48"/>
    <n v="13"/>
    <n v="15"/>
    <n v="229.24"/>
    <n v="22"/>
  </r>
  <r>
    <n v="562"/>
    <x v="1"/>
    <s v="Los Angeles"/>
    <x v="0"/>
    <x v="1"/>
    <x v="0"/>
    <x v="0"/>
    <n v="3.19"/>
    <n v="5"/>
    <n v="1.1200000000000001"/>
    <n v="17.07"/>
    <n v="1"/>
  </r>
  <r>
    <n v="563"/>
    <x v="1"/>
    <s v="Los Angeles"/>
    <x v="0"/>
    <x v="1"/>
    <x v="1"/>
    <x v="1"/>
    <n v="18.260000000000002"/>
    <n v="2"/>
    <n v="2.56"/>
    <n v="39.08"/>
    <n v="3"/>
  </r>
  <r>
    <n v="564"/>
    <x v="2"/>
    <s v="Chicago"/>
    <x v="1"/>
    <x v="0"/>
    <x v="0"/>
    <x v="0"/>
    <n v="8.73"/>
    <n v="20"/>
    <n v="12.22"/>
    <n v="186.82"/>
    <n v="0"/>
  </r>
  <r>
    <n v="565"/>
    <x v="0"/>
    <s v="New York"/>
    <x v="1"/>
    <x v="0"/>
    <x v="1"/>
    <x v="1"/>
    <n v="9.9499999999999993"/>
    <n v="12"/>
    <n v="8.36"/>
    <n v="127.76"/>
    <n v="0"/>
  </r>
  <r>
    <n v="566"/>
    <x v="2"/>
    <s v="Chicago"/>
    <x v="0"/>
    <x v="0"/>
    <x v="4"/>
    <x v="4"/>
    <n v="5.63"/>
    <n v="18"/>
    <n v="7.09"/>
    <n v="108.43"/>
    <n v="10"/>
  </r>
  <r>
    <n v="567"/>
    <x v="2"/>
    <s v="Chicago"/>
    <x v="1"/>
    <x v="0"/>
    <x v="0"/>
    <x v="0"/>
    <n v="17.190000000000001"/>
    <n v="8"/>
    <n v="9.6300000000000008"/>
    <n v="147.15"/>
    <n v="0"/>
  </r>
  <r>
    <n v="568"/>
    <x v="1"/>
    <s v="Los Angeles"/>
    <x v="1"/>
    <x v="0"/>
    <x v="2"/>
    <x v="2"/>
    <n v="15"/>
    <n v="12"/>
    <n v="12.6"/>
    <n v="192.6"/>
    <n v="0"/>
  </r>
  <r>
    <n v="569"/>
    <x v="1"/>
    <s v="Los Angeles"/>
    <x v="1"/>
    <x v="1"/>
    <x v="4"/>
    <x v="4"/>
    <n v="4.28"/>
    <n v="17"/>
    <n v="5.09"/>
    <n v="77.849999999999994"/>
    <n v="0"/>
  </r>
  <r>
    <n v="570"/>
    <x v="1"/>
    <s v="Los Angeles"/>
    <x v="0"/>
    <x v="1"/>
    <x v="1"/>
    <x v="1"/>
    <n v="4.47"/>
    <n v="14"/>
    <n v="4.38"/>
    <n v="66.959999999999994"/>
    <n v="6"/>
  </r>
  <r>
    <n v="571"/>
    <x v="1"/>
    <s v="Los Angeles"/>
    <x v="0"/>
    <x v="0"/>
    <x v="2"/>
    <x v="2"/>
    <n v="17.489999999999998"/>
    <n v="1"/>
    <n v="1.22"/>
    <n v="18.71"/>
    <n v="1"/>
  </r>
  <r>
    <n v="572"/>
    <x v="1"/>
    <s v="Los Angeles"/>
    <x v="1"/>
    <x v="1"/>
    <x v="0"/>
    <x v="0"/>
    <n v="11.72"/>
    <n v="7"/>
    <n v="5.74"/>
    <n v="87.78"/>
    <n v="0"/>
  </r>
  <r>
    <n v="573"/>
    <x v="0"/>
    <s v="New York"/>
    <x v="0"/>
    <x v="1"/>
    <x v="0"/>
    <x v="0"/>
    <n v="17.25"/>
    <n v="9"/>
    <n v="10.87"/>
    <n v="166.12"/>
    <n v="16"/>
  </r>
  <r>
    <n v="574"/>
    <x v="1"/>
    <s v="Los Angeles"/>
    <x v="1"/>
    <x v="1"/>
    <x v="1"/>
    <x v="1"/>
    <n v="11.99"/>
    <n v="19"/>
    <n v="15.95"/>
    <n v="243.76"/>
    <n v="0"/>
  </r>
  <r>
    <n v="575"/>
    <x v="1"/>
    <s v="Los Angeles"/>
    <x v="1"/>
    <x v="0"/>
    <x v="0"/>
    <x v="0"/>
    <n v="8.2899999999999991"/>
    <n v="10"/>
    <n v="5.8"/>
    <n v="88.7"/>
    <n v="0"/>
  </r>
  <r>
    <n v="576"/>
    <x v="1"/>
    <s v="Los Angeles"/>
    <x v="1"/>
    <x v="0"/>
    <x v="4"/>
    <x v="4"/>
    <n v="6.18"/>
    <n v="3"/>
    <n v="1.3"/>
    <n v="19.84"/>
    <n v="0"/>
  </r>
  <r>
    <n v="577"/>
    <x v="2"/>
    <s v="Chicago"/>
    <x v="0"/>
    <x v="0"/>
    <x v="1"/>
    <x v="1"/>
    <n v="17.72"/>
    <n v="7"/>
    <n v="8.68"/>
    <n v="132.72"/>
    <n v="13"/>
  </r>
  <r>
    <n v="578"/>
    <x v="2"/>
    <s v="Chicago"/>
    <x v="0"/>
    <x v="0"/>
    <x v="4"/>
    <x v="4"/>
    <n v="12.14"/>
    <n v="14"/>
    <n v="11.9"/>
    <n v="181.86"/>
    <n v="18"/>
  </r>
  <r>
    <n v="579"/>
    <x v="1"/>
    <s v="Los Angeles"/>
    <x v="1"/>
    <x v="1"/>
    <x v="0"/>
    <x v="0"/>
    <n v="9.73"/>
    <n v="15"/>
    <n v="10.220000000000001"/>
    <n v="156.16999999999999"/>
    <n v="0"/>
  </r>
  <r>
    <n v="580"/>
    <x v="2"/>
    <s v="Chicago"/>
    <x v="0"/>
    <x v="0"/>
    <x v="1"/>
    <x v="1"/>
    <n v="19.670000000000002"/>
    <n v="5"/>
    <n v="6.88"/>
    <n v="105.23"/>
    <n v="10"/>
  </r>
  <r>
    <n v="581"/>
    <x v="1"/>
    <s v="Los Angeles"/>
    <x v="1"/>
    <x v="1"/>
    <x v="4"/>
    <x v="4"/>
    <n v="1.35"/>
    <n v="17"/>
    <n v="1.61"/>
    <n v="24.56"/>
    <n v="0"/>
  </r>
  <r>
    <n v="582"/>
    <x v="1"/>
    <s v="Los Angeles"/>
    <x v="1"/>
    <x v="0"/>
    <x v="4"/>
    <x v="4"/>
    <n v="17.95"/>
    <n v="5"/>
    <n v="6.28"/>
    <n v="96.03"/>
    <n v="0"/>
  </r>
  <r>
    <n v="583"/>
    <x v="1"/>
    <s v="Los Angeles"/>
    <x v="0"/>
    <x v="0"/>
    <x v="2"/>
    <x v="2"/>
    <n v="5.98"/>
    <n v="17"/>
    <n v="7.12"/>
    <n v="108.78"/>
    <n v="10"/>
  </r>
  <r>
    <n v="584"/>
    <x v="1"/>
    <s v="Los Angeles"/>
    <x v="0"/>
    <x v="0"/>
    <x v="1"/>
    <x v="1"/>
    <n v="13.82"/>
    <n v="20"/>
    <n v="19.350000000000001"/>
    <n v="295.75"/>
    <n v="29"/>
  </r>
  <r>
    <n v="585"/>
    <x v="1"/>
    <s v="Los Angeles"/>
    <x v="1"/>
    <x v="0"/>
    <x v="0"/>
    <x v="0"/>
    <n v="10.67"/>
    <n v="14"/>
    <n v="10.46"/>
    <n v="159.84"/>
    <n v="0"/>
  </r>
  <r>
    <n v="586"/>
    <x v="2"/>
    <s v="Chicago"/>
    <x v="1"/>
    <x v="0"/>
    <x v="3"/>
    <x v="3"/>
    <n v="7.58"/>
    <n v="12"/>
    <n v="6.37"/>
    <n v="97.33"/>
    <n v="0"/>
  </r>
  <r>
    <n v="587"/>
    <x v="0"/>
    <s v="New York"/>
    <x v="1"/>
    <x v="1"/>
    <x v="2"/>
    <x v="2"/>
    <n v="19.989999999999998"/>
    <n v="7"/>
    <n v="9.8000000000000007"/>
    <n v="149.72999999999999"/>
    <n v="0"/>
  </r>
  <r>
    <n v="588"/>
    <x v="1"/>
    <s v="Los Angeles"/>
    <x v="1"/>
    <x v="0"/>
    <x v="4"/>
    <x v="4"/>
    <n v="12.74"/>
    <n v="7"/>
    <n v="6.24"/>
    <n v="95.42"/>
    <n v="0"/>
  </r>
  <r>
    <n v="589"/>
    <x v="0"/>
    <s v="New York"/>
    <x v="0"/>
    <x v="0"/>
    <x v="2"/>
    <x v="2"/>
    <n v="5.61"/>
    <n v="9"/>
    <n v="3.53"/>
    <n v="54.02"/>
    <n v="5"/>
  </r>
  <r>
    <n v="590"/>
    <x v="1"/>
    <s v="Los Angeles"/>
    <x v="1"/>
    <x v="0"/>
    <x v="0"/>
    <x v="0"/>
    <n v="2.7"/>
    <n v="1"/>
    <n v="0.19"/>
    <n v="2.89"/>
    <n v="0"/>
  </r>
  <r>
    <n v="591"/>
    <x v="2"/>
    <s v="Chicago"/>
    <x v="1"/>
    <x v="0"/>
    <x v="0"/>
    <x v="0"/>
    <n v="11.33"/>
    <n v="8"/>
    <n v="6.34"/>
    <n v="96.98"/>
    <n v="0"/>
  </r>
  <r>
    <n v="592"/>
    <x v="1"/>
    <s v="Los Angeles"/>
    <x v="1"/>
    <x v="0"/>
    <x v="1"/>
    <x v="1"/>
    <n v="18.91"/>
    <n v="14"/>
    <n v="18.53"/>
    <n v="283.27"/>
    <n v="0"/>
  </r>
  <r>
    <n v="593"/>
    <x v="2"/>
    <s v="Chicago"/>
    <x v="0"/>
    <x v="1"/>
    <x v="2"/>
    <x v="2"/>
    <n v="1.38"/>
    <n v="18"/>
    <n v="1.74"/>
    <n v="26.58"/>
    <n v="2"/>
  </r>
  <r>
    <n v="594"/>
    <x v="1"/>
    <s v="Los Angeles"/>
    <x v="1"/>
    <x v="1"/>
    <x v="3"/>
    <x v="3"/>
    <n v="18.28"/>
    <n v="19"/>
    <n v="24.31"/>
    <n v="371.63"/>
    <n v="0"/>
  </r>
  <r>
    <n v="595"/>
    <x v="0"/>
    <s v="New York"/>
    <x v="0"/>
    <x v="1"/>
    <x v="2"/>
    <x v="2"/>
    <n v="1.89"/>
    <n v="10"/>
    <n v="1.32"/>
    <n v="20.22"/>
    <n v="2"/>
  </r>
  <r>
    <n v="596"/>
    <x v="0"/>
    <s v="New York"/>
    <x v="1"/>
    <x v="0"/>
    <x v="1"/>
    <x v="1"/>
    <n v="6.36"/>
    <n v="7"/>
    <n v="3.12"/>
    <n v="47.64"/>
    <n v="0"/>
  </r>
  <r>
    <n v="597"/>
    <x v="2"/>
    <s v="Chicago"/>
    <x v="0"/>
    <x v="1"/>
    <x v="3"/>
    <x v="3"/>
    <n v="13.96"/>
    <n v="16"/>
    <n v="15.64"/>
    <n v="239"/>
    <n v="23"/>
  </r>
  <r>
    <n v="598"/>
    <x v="1"/>
    <s v="Los Angeles"/>
    <x v="1"/>
    <x v="0"/>
    <x v="4"/>
    <x v="4"/>
    <n v="10.84"/>
    <n v="18"/>
    <n v="13.66"/>
    <n v="208.78"/>
    <n v="0"/>
  </r>
  <r>
    <n v="599"/>
    <x v="1"/>
    <s v="Los Angeles"/>
    <x v="1"/>
    <x v="1"/>
    <x v="4"/>
    <x v="4"/>
    <n v="9.7799999999999994"/>
    <n v="1"/>
    <n v="0.68"/>
    <n v="10.46"/>
    <n v="0"/>
  </r>
  <r>
    <n v="600"/>
    <x v="2"/>
    <s v="Chicago"/>
    <x v="0"/>
    <x v="0"/>
    <x v="2"/>
    <x v="2"/>
    <n v="3.33"/>
    <n v="11"/>
    <n v="2.56"/>
    <n v="39.19"/>
    <n v="3"/>
  </r>
  <r>
    <n v="601"/>
    <x v="2"/>
    <s v="Chicago"/>
    <x v="1"/>
    <x v="1"/>
    <x v="2"/>
    <x v="2"/>
    <n v="8.67"/>
    <n v="10"/>
    <n v="6.07"/>
    <n v="92.77"/>
    <n v="0"/>
  </r>
  <r>
    <n v="602"/>
    <x v="1"/>
    <s v="Los Angeles"/>
    <x v="0"/>
    <x v="0"/>
    <x v="3"/>
    <x v="3"/>
    <n v="11.73"/>
    <n v="19"/>
    <n v="15.6"/>
    <n v="238.47"/>
    <n v="23"/>
  </r>
  <r>
    <n v="603"/>
    <x v="0"/>
    <s v="New York"/>
    <x v="1"/>
    <x v="0"/>
    <x v="3"/>
    <x v="3"/>
    <n v="7.96"/>
    <n v="12"/>
    <n v="6.69"/>
    <n v="102.21"/>
    <n v="0"/>
  </r>
  <r>
    <n v="604"/>
    <x v="2"/>
    <s v="Chicago"/>
    <x v="1"/>
    <x v="0"/>
    <x v="2"/>
    <x v="2"/>
    <n v="5.87"/>
    <n v="7"/>
    <n v="2.88"/>
    <n v="43.97"/>
    <n v="0"/>
  </r>
  <r>
    <n v="605"/>
    <x v="0"/>
    <s v="New York"/>
    <x v="1"/>
    <x v="1"/>
    <x v="1"/>
    <x v="1"/>
    <n v="4.1500000000000004"/>
    <n v="1"/>
    <n v="0.28999999999999998"/>
    <n v="4.4400000000000004"/>
    <n v="0"/>
  </r>
  <r>
    <n v="606"/>
    <x v="2"/>
    <s v="Chicago"/>
    <x v="0"/>
    <x v="0"/>
    <x v="0"/>
    <x v="0"/>
    <n v="10.220000000000001"/>
    <n v="5"/>
    <n v="3.58"/>
    <n v="54.68"/>
    <n v="5"/>
  </r>
  <r>
    <n v="607"/>
    <x v="1"/>
    <s v="Los Angeles"/>
    <x v="1"/>
    <x v="0"/>
    <x v="4"/>
    <x v="4"/>
    <n v="17.420000000000002"/>
    <n v="3"/>
    <n v="3.66"/>
    <n v="55.92"/>
    <n v="0"/>
  </r>
  <r>
    <n v="608"/>
    <x v="1"/>
    <s v="Los Angeles"/>
    <x v="1"/>
    <x v="0"/>
    <x v="2"/>
    <x v="2"/>
    <n v="7.44"/>
    <n v="12"/>
    <n v="6.25"/>
    <n v="95.53"/>
    <n v="0"/>
  </r>
  <r>
    <n v="609"/>
    <x v="2"/>
    <s v="Chicago"/>
    <x v="0"/>
    <x v="0"/>
    <x v="0"/>
    <x v="0"/>
    <n v="15.53"/>
    <n v="8"/>
    <n v="8.6999999999999993"/>
    <n v="132.94"/>
    <n v="13"/>
  </r>
  <r>
    <n v="610"/>
    <x v="2"/>
    <s v="Chicago"/>
    <x v="1"/>
    <x v="1"/>
    <x v="2"/>
    <x v="2"/>
    <n v="2.68"/>
    <n v="5"/>
    <n v="0.94"/>
    <n v="14.34"/>
    <n v="0"/>
  </r>
  <r>
    <n v="611"/>
    <x v="0"/>
    <s v="New York"/>
    <x v="1"/>
    <x v="0"/>
    <x v="2"/>
    <x v="2"/>
    <n v="15.57"/>
    <n v="2"/>
    <n v="2.1800000000000002"/>
    <n v="33.32"/>
    <n v="0"/>
  </r>
  <r>
    <n v="612"/>
    <x v="0"/>
    <s v="New York"/>
    <x v="0"/>
    <x v="0"/>
    <x v="3"/>
    <x v="3"/>
    <n v="8.39"/>
    <n v="1"/>
    <n v="0.59"/>
    <n v="8.98"/>
    <n v="0"/>
  </r>
  <r>
    <n v="613"/>
    <x v="1"/>
    <s v="Los Angeles"/>
    <x v="1"/>
    <x v="0"/>
    <x v="2"/>
    <x v="2"/>
    <n v="19.28"/>
    <n v="2"/>
    <n v="2.7"/>
    <n v="41.26"/>
    <n v="0"/>
  </r>
  <r>
    <n v="614"/>
    <x v="0"/>
    <s v="New York"/>
    <x v="1"/>
    <x v="1"/>
    <x v="4"/>
    <x v="4"/>
    <n v="12.9"/>
    <n v="6"/>
    <n v="5.42"/>
    <n v="82.82"/>
    <n v="0"/>
  </r>
  <r>
    <n v="615"/>
    <x v="0"/>
    <s v="New York"/>
    <x v="1"/>
    <x v="0"/>
    <x v="4"/>
    <x v="4"/>
    <n v="6.9"/>
    <n v="6"/>
    <n v="2.9"/>
    <n v="44.3"/>
    <n v="0"/>
  </r>
  <r>
    <n v="616"/>
    <x v="1"/>
    <s v="Los Angeles"/>
    <x v="1"/>
    <x v="1"/>
    <x v="2"/>
    <x v="2"/>
    <n v="12.94"/>
    <n v="3"/>
    <n v="2.72"/>
    <n v="41.54"/>
    <n v="0"/>
  </r>
  <r>
    <n v="617"/>
    <x v="2"/>
    <s v="Chicago"/>
    <x v="1"/>
    <x v="0"/>
    <x v="1"/>
    <x v="1"/>
    <n v="8.76"/>
    <n v="4"/>
    <n v="2.4500000000000002"/>
    <n v="37.49"/>
    <n v="0"/>
  </r>
  <r>
    <n v="618"/>
    <x v="0"/>
    <s v="New York"/>
    <x v="1"/>
    <x v="1"/>
    <x v="3"/>
    <x v="3"/>
    <n v="3.64"/>
    <n v="8"/>
    <n v="2.04"/>
    <n v="31.16"/>
    <n v="0"/>
  </r>
  <r>
    <n v="619"/>
    <x v="2"/>
    <s v="Chicago"/>
    <x v="0"/>
    <x v="1"/>
    <x v="0"/>
    <x v="0"/>
    <n v="8.39"/>
    <n v="15"/>
    <n v="8.81"/>
    <n v="134.66"/>
    <n v="13"/>
  </r>
  <r>
    <n v="620"/>
    <x v="1"/>
    <s v="Los Angeles"/>
    <x v="0"/>
    <x v="1"/>
    <x v="2"/>
    <x v="2"/>
    <n v="3.07"/>
    <n v="9"/>
    <n v="1.93"/>
    <n v="29.56"/>
    <n v="2"/>
  </r>
  <r>
    <n v="621"/>
    <x v="1"/>
    <s v="Los Angeles"/>
    <x v="0"/>
    <x v="1"/>
    <x v="1"/>
    <x v="1"/>
    <n v="4.57"/>
    <n v="17"/>
    <n v="5.44"/>
    <n v="83.13"/>
    <n v="8"/>
  </r>
  <r>
    <n v="622"/>
    <x v="0"/>
    <s v="New York"/>
    <x v="1"/>
    <x v="1"/>
    <x v="3"/>
    <x v="3"/>
    <n v="19.77"/>
    <n v="20"/>
    <n v="27.68"/>
    <n v="423.08"/>
    <n v="0"/>
  </r>
  <r>
    <n v="623"/>
    <x v="1"/>
    <s v="Los Angeles"/>
    <x v="0"/>
    <x v="0"/>
    <x v="4"/>
    <x v="4"/>
    <n v="2.39"/>
    <n v="7"/>
    <n v="1.17"/>
    <n v="17.899999999999999"/>
    <n v="1"/>
  </r>
  <r>
    <n v="624"/>
    <x v="2"/>
    <s v="Chicago"/>
    <x v="0"/>
    <x v="1"/>
    <x v="1"/>
    <x v="1"/>
    <n v="17.73"/>
    <n v="19"/>
    <n v="23.58"/>
    <n v="360.45"/>
    <n v="36"/>
  </r>
  <r>
    <n v="625"/>
    <x v="0"/>
    <s v="New York"/>
    <x v="0"/>
    <x v="0"/>
    <x v="3"/>
    <x v="3"/>
    <n v="11.96"/>
    <n v="3"/>
    <n v="2.5099999999999998"/>
    <n v="38.39"/>
    <n v="3"/>
  </r>
  <r>
    <n v="626"/>
    <x v="0"/>
    <s v="New York"/>
    <x v="0"/>
    <x v="0"/>
    <x v="3"/>
    <x v="3"/>
    <n v="12.34"/>
    <n v="8"/>
    <n v="6.91"/>
    <n v="105.63"/>
    <n v="10"/>
  </r>
  <r>
    <n v="627"/>
    <x v="2"/>
    <s v="Chicago"/>
    <x v="1"/>
    <x v="1"/>
    <x v="4"/>
    <x v="4"/>
    <n v="6.2"/>
    <n v="3"/>
    <n v="1.3"/>
    <n v="19.899999999999999"/>
    <n v="0"/>
  </r>
  <r>
    <n v="628"/>
    <x v="1"/>
    <s v="Los Angeles"/>
    <x v="1"/>
    <x v="0"/>
    <x v="0"/>
    <x v="0"/>
    <n v="15.18"/>
    <n v="5"/>
    <n v="5.31"/>
    <n v="81.209999999999994"/>
    <n v="0"/>
  </r>
  <r>
    <n v="629"/>
    <x v="1"/>
    <s v="Los Angeles"/>
    <x v="1"/>
    <x v="0"/>
    <x v="1"/>
    <x v="1"/>
    <n v="14.15"/>
    <n v="19"/>
    <n v="18.82"/>
    <n v="287.67"/>
    <n v="0"/>
  </r>
  <r>
    <n v="630"/>
    <x v="1"/>
    <s v="Los Angeles"/>
    <x v="1"/>
    <x v="0"/>
    <x v="1"/>
    <x v="1"/>
    <n v="7.15"/>
    <n v="14"/>
    <n v="7.01"/>
    <n v="107.11"/>
    <n v="0"/>
  </r>
  <r>
    <n v="631"/>
    <x v="0"/>
    <s v="New York"/>
    <x v="1"/>
    <x v="1"/>
    <x v="0"/>
    <x v="0"/>
    <n v="14.7"/>
    <n v="14"/>
    <n v="14.41"/>
    <n v="220.21"/>
    <n v="0"/>
  </r>
  <r>
    <n v="632"/>
    <x v="2"/>
    <s v="Chicago"/>
    <x v="1"/>
    <x v="0"/>
    <x v="4"/>
    <x v="4"/>
    <n v="20.6"/>
    <n v="17"/>
    <n v="24.51"/>
    <n v="374.71"/>
    <n v="0"/>
  </r>
  <r>
    <n v="633"/>
    <x v="1"/>
    <s v="Los Angeles"/>
    <x v="1"/>
    <x v="0"/>
    <x v="0"/>
    <x v="0"/>
    <n v="13.71"/>
    <n v="2"/>
    <n v="1.92"/>
    <n v="29.34"/>
    <n v="0"/>
  </r>
  <r>
    <n v="634"/>
    <x v="0"/>
    <s v="New York"/>
    <x v="1"/>
    <x v="1"/>
    <x v="2"/>
    <x v="2"/>
    <n v="17.170000000000002"/>
    <n v="1"/>
    <n v="1.2"/>
    <n v="18.37"/>
    <n v="0"/>
  </r>
  <r>
    <n v="635"/>
    <x v="0"/>
    <s v="New York"/>
    <x v="1"/>
    <x v="1"/>
    <x v="3"/>
    <x v="3"/>
    <n v="9.3800000000000008"/>
    <n v="5"/>
    <n v="3.28"/>
    <n v="50.18"/>
    <n v="0"/>
  </r>
  <r>
    <n v="636"/>
    <x v="1"/>
    <s v="Los Angeles"/>
    <x v="1"/>
    <x v="1"/>
    <x v="2"/>
    <x v="2"/>
    <n v="4.34"/>
    <n v="1"/>
    <n v="0.3"/>
    <n v="4.6399999999999997"/>
    <n v="0"/>
  </r>
  <r>
    <n v="637"/>
    <x v="2"/>
    <s v="Chicago"/>
    <x v="1"/>
    <x v="0"/>
    <x v="4"/>
    <x v="4"/>
    <n v="11.71"/>
    <n v="2"/>
    <n v="1.64"/>
    <n v="25.06"/>
    <n v="0"/>
  </r>
  <r>
    <n v="638"/>
    <x v="2"/>
    <s v="Chicago"/>
    <x v="0"/>
    <x v="0"/>
    <x v="4"/>
    <x v="4"/>
    <n v="8.8000000000000007"/>
    <n v="15"/>
    <n v="9.24"/>
    <n v="141.24"/>
    <n v="14"/>
  </r>
  <r>
    <n v="639"/>
    <x v="2"/>
    <s v="Chicago"/>
    <x v="0"/>
    <x v="0"/>
    <x v="4"/>
    <x v="4"/>
    <n v="14.09"/>
    <n v="20"/>
    <n v="19.73"/>
    <n v="301.52999999999997"/>
    <n v="30"/>
  </r>
  <r>
    <n v="640"/>
    <x v="1"/>
    <s v="Los Angeles"/>
    <x v="1"/>
    <x v="0"/>
    <x v="4"/>
    <x v="4"/>
    <n v="14.33"/>
    <n v="20"/>
    <n v="20.059999999999999"/>
    <n v="306.66000000000003"/>
    <n v="0"/>
  </r>
  <r>
    <n v="641"/>
    <x v="2"/>
    <s v="Chicago"/>
    <x v="1"/>
    <x v="1"/>
    <x v="1"/>
    <x v="1"/>
    <n v="4.88"/>
    <n v="2"/>
    <n v="0.68"/>
    <n v="10.44"/>
    <n v="0"/>
  </r>
  <r>
    <n v="642"/>
    <x v="0"/>
    <s v="New York"/>
    <x v="1"/>
    <x v="1"/>
    <x v="3"/>
    <x v="3"/>
    <n v="17.25"/>
    <n v="6"/>
    <n v="7.25"/>
    <n v="110.75"/>
    <n v="0"/>
  </r>
  <r>
    <n v="643"/>
    <x v="2"/>
    <s v="Chicago"/>
    <x v="0"/>
    <x v="1"/>
    <x v="4"/>
    <x v="4"/>
    <n v="5.83"/>
    <n v="1"/>
    <n v="0.41"/>
    <n v="6.24"/>
    <n v="0"/>
  </r>
  <r>
    <n v="644"/>
    <x v="0"/>
    <s v="New York"/>
    <x v="1"/>
    <x v="0"/>
    <x v="0"/>
    <x v="0"/>
    <n v="13.2"/>
    <n v="16"/>
    <n v="14.78"/>
    <n v="225.98"/>
    <n v="0"/>
  </r>
  <r>
    <n v="645"/>
    <x v="0"/>
    <s v="New York"/>
    <x v="0"/>
    <x v="0"/>
    <x v="0"/>
    <x v="0"/>
    <n v="1.26"/>
    <n v="2"/>
    <n v="0.18"/>
    <n v="2.7"/>
    <n v="0"/>
  </r>
  <r>
    <n v="646"/>
    <x v="1"/>
    <s v="Los Angeles"/>
    <x v="1"/>
    <x v="0"/>
    <x v="3"/>
    <x v="3"/>
    <n v="19.440000000000001"/>
    <n v="14"/>
    <n v="19.05"/>
    <n v="291.20999999999998"/>
    <n v="0"/>
  </r>
  <r>
    <n v="647"/>
    <x v="2"/>
    <s v="Chicago"/>
    <x v="0"/>
    <x v="0"/>
    <x v="4"/>
    <x v="4"/>
    <n v="3.4"/>
    <n v="14"/>
    <n v="3.33"/>
    <n v="50.93"/>
    <n v="5"/>
  </r>
  <r>
    <n v="648"/>
    <x v="1"/>
    <s v="Los Angeles"/>
    <x v="0"/>
    <x v="0"/>
    <x v="4"/>
    <x v="4"/>
    <n v="6.4"/>
    <n v="18"/>
    <n v="8.06"/>
    <n v="123.26"/>
    <n v="12"/>
  </r>
  <r>
    <n v="649"/>
    <x v="2"/>
    <s v="Chicago"/>
    <x v="1"/>
    <x v="1"/>
    <x v="3"/>
    <x v="3"/>
    <n v="7.8"/>
    <n v="18"/>
    <n v="9.83"/>
    <n v="150.22999999999999"/>
    <n v="0"/>
  </r>
  <r>
    <n v="650"/>
    <x v="2"/>
    <s v="Chicago"/>
    <x v="1"/>
    <x v="0"/>
    <x v="1"/>
    <x v="1"/>
    <n v="2.31"/>
    <n v="9"/>
    <n v="1.46"/>
    <n v="22.25"/>
    <n v="0"/>
  </r>
  <r>
    <n v="651"/>
    <x v="2"/>
    <s v="Chicago"/>
    <x v="1"/>
    <x v="1"/>
    <x v="0"/>
    <x v="0"/>
    <n v="4.5199999999999996"/>
    <n v="5"/>
    <n v="1.58"/>
    <n v="24.18"/>
    <n v="0"/>
  </r>
  <r>
    <n v="652"/>
    <x v="2"/>
    <s v="Chicago"/>
    <x v="0"/>
    <x v="1"/>
    <x v="4"/>
    <x v="4"/>
    <n v="13.53"/>
    <n v="18"/>
    <n v="17.05"/>
    <n v="260.58999999999997"/>
    <n v="26"/>
  </r>
  <r>
    <n v="653"/>
    <x v="0"/>
    <s v="New York"/>
    <x v="1"/>
    <x v="0"/>
    <x v="3"/>
    <x v="3"/>
    <n v="19.71"/>
    <n v="16"/>
    <n v="22.08"/>
    <n v="337.44"/>
    <n v="0"/>
  </r>
  <r>
    <n v="654"/>
    <x v="2"/>
    <s v="Chicago"/>
    <x v="0"/>
    <x v="1"/>
    <x v="3"/>
    <x v="3"/>
    <n v="10.14"/>
    <n v="14"/>
    <n v="9.94"/>
    <n v="151.9"/>
    <n v="15"/>
  </r>
  <r>
    <n v="655"/>
    <x v="1"/>
    <s v="Los Angeles"/>
    <x v="0"/>
    <x v="0"/>
    <x v="0"/>
    <x v="0"/>
    <n v="11.2"/>
    <n v="4"/>
    <n v="3.14"/>
    <n v="47.94"/>
    <n v="4"/>
  </r>
  <r>
    <n v="656"/>
    <x v="2"/>
    <s v="Chicago"/>
    <x v="0"/>
    <x v="1"/>
    <x v="2"/>
    <x v="2"/>
    <n v="2.0099999999999998"/>
    <n v="3"/>
    <n v="0.42"/>
    <n v="6.45"/>
    <n v="0"/>
  </r>
  <r>
    <n v="657"/>
    <x v="0"/>
    <s v="New York"/>
    <x v="0"/>
    <x v="0"/>
    <x v="3"/>
    <x v="3"/>
    <n v="4.1399999999999997"/>
    <n v="2"/>
    <n v="0.57999999999999996"/>
    <n v="8.86"/>
    <n v="0"/>
  </r>
  <r>
    <n v="658"/>
    <x v="2"/>
    <s v="Chicago"/>
    <x v="1"/>
    <x v="1"/>
    <x v="4"/>
    <x v="4"/>
    <n v="16.47"/>
    <n v="16"/>
    <n v="18.45"/>
    <n v="281.97000000000003"/>
    <n v="0"/>
  </r>
  <r>
    <n v="659"/>
    <x v="2"/>
    <s v="Chicago"/>
    <x v="0"/>
    <x v="0"/>
    <x v="4"/>
    <x v="4"/>
    <n v="12.7"/>
    <n v="4"/>
    <n v="3.56"/>
    <n v="54.36"/>
    <n v="5"/>
  </r>
  <r>
    <n v="660"/>
    <x v="1"/>
    <s v="Los Angeles"/>
    <x v="0"/>
    <x v="1"/>
    <x v="1"/>
    <x v="1"/>
    <n v="10.72"/>
    <n v="18"/>
    <n v="13.51"/>
    <n v="206.47"/>
    <n v="20"/>
  </r>
  <r>
    <n v="661"/>
    <x v="0"/>
    <s v="New York"/>
    <x v="0"/>
    <x v="1"/>
    <x v="0"/>
    <x v="0"/>
    <n v="15.29"/>
    <n v="3"/>
    <n v="3.21"/>
    <n v="49.08"/>
    <n v="4"/>
  </r>
  <r>
    <n v="662"/>
    <x v="0"/>
    <s v="New York"/>
    <x v="0"/>
    <x v="0"/>
    <x v="1"/>
    <x v="1"/>
    <n v="12.5"/>
    <n v="14"/>
    <n v="12.25"/>
    <n v="187.25"/>
    <n v="18"/>
  </r>
  <r>
    <n v="663"/>
    <x v="1"/>
    <s v="Los Angeles"/>
    <x v="0"/>
    <x v="0"/>
    <x v="4"/>
    <x v="4"/>
    <n v="18.95"/>
    <n v="18"/>
    <n v="23.88"/>
    <n v="364.98"/>
    <n v="36"/>
  </r>
  <r>
    <n v="664"/>
    <x v="0"/>
    <s v="New York"/>
    <x v="1"/>
    <x v="0"/>
    <x v="0"/>
    <x v="0"/>
    <n v="13.71"/>
    <n v="14"/>
    <n v="13.44"/>
    <n v="205.38"/>
    <n v="0"/>
  </r>
  <r>
    <n v="665"/>
    <x v="1"/>
    <s v="Los Angeles"/>
    <x v="1"/>
    <x v="0"/>
    <x v="0"/>
    <x v="0"/>
    <n v="8.36"/>
    <n v="2"/>
    <n v="1.17"/>
    <n v="17.89"/>
    <n v="0"/>
  </r>
  <r>
    <n v="666"/>
    <x v="2"/>
    <s v="Chicago"/>
    <x v="1"/>
    <x v="1"/>
    <x v="3"/>
    <x v="3"/>
    <n v="14.62"/>
    <n v="1"/>
    <n v="1.02"/>
    <n v="15.64"/>
    <n v="0"/>
  </r>
  <r>
    <n v="667"/>
    <x v="1"/>
    <s v="Los Angeles"/>
    <x v="1"/>
    <x v="1"/>
    <x v="3"/>
    <x v="3"/>
    <n v="13.93"/>
    <n v="16"/>
    <n v="15.6"/>
    <n v="238.48"/>
    <n v="0"/>
  </r>
  <r>
    <n v="668"/>
    <x v="0"/>
    <s v="New York"/>
    <x v="0"/>
    <x v="0"/>
    <x v="3"/>
    <x v="3"/>
    <n v="18"/>
    <n v="13"/>
    <n v="16.38"/>
    <n v="250.38"/>
    <n v="25"/>
  </r>
  <r>
    <n v="669"/>
    <x v="2"/>
    <s v="Chicago"/>
    <x v="0"/>
    <x v="1"/>
    <x v="2"/>
    <x v="2"/>
    <n v="14.55"/>
    <n v="4"/>
    <n v="4.07"/>
    <n v="62.27"/>
    <n v="6"/>
  </r>
  <r>
    <n v="670"/>
    <x v="0"/>
    <s v="New York"/>
    <x v="0"/>
    <x v="1"/>
    <x v="0"/>
    <x v="0"/>
    <n v="17.399999999999999"/>
    <n v="8"/>
    <n v="9.74"/>
    <n v="148.94"/>
    <n v="14"/>
  </r>
  <r>
    <n v="671"/>
    <x v="0"/>
    <s v="New York"/>
    <x v="0"/>
    <x v="0"/>
    <x v="4"/>
    <x v="4"/>
    <n v="2.4700000000000002"/>
    <n v="4"/>
    <n v="0.69"/>
    <n v="10.57"/>
    <n v="1"/>
  </r>
  <r>
    <n v="672"/>
    <x v="1"/>
    <s v="Los Angeles"/>
    <x v="0"/>
    <x v="0"/>
    <x v="1"/>
    <x v="1"/>
    <n v="7.03"/>
    <n v="16"/>
    <n v="7.87"/>
    <n v="120.35"/>
    <n v="12"/>
  </r>
  <r>
    <n v="673"/>
    <x v="2"/>
    <s v="Chicago"/>
    <x v="0"/>
    <x v="0"/>
    <x v="0"/>
    <x v="0"/>
    <n v="17.59"/>
    <n v="1"/>
    <n v="1.23"/>
    <n v="18.82"/>
    <n v="1"/>
  </r>
  <r>
    <n v="674"/>
    <x v="2"/>
    <s v="Chicago"/>
    <x v="0"/>
    <x v="0"/>
    <x v="4"/>
    <x v="4"/>
    <n v="17.600000000000001"/>
    <n v="5"/>
    <n v="6.16"/>
    <n v="94.16"/>
    <n v="9"/>
  </r>
  <r>
    <n v="675"/>
    <x v="1"/>
    <s v="Los Angeles"/>
    <x v="1"/>
    <x v="0"/>
    <x v="4"/>
    <x v="4"/>
    <n v="10.42"/>
    <n v="3"/>
    <n v="2.19"/>
    <n v="33.450000000000003"/>
    <n v="0"/>
  </r>
  <r>
    <n v="676"/>
    <x v="1"/>
    <s v="Los Angeles"/>
    <x v="1"/>
    <x v="0"/>
    <x v="3"/>
    <x v="3"/>
    <n v="10.82"/>
    <n v="9"/>
    <n v="6.82"/>
    <n v="104.2"/>
    <n v="0"/>
  </r>
  <r>
    <n v="677"/>
    <x v="0"/>
    <s v="New York"/>
    <x v="0"/>
    <x v="0"/>
    <x v="0"/>
    <x v="0"/>
    <n v="16.489999999999998"/>
    <n v="4"/>
    <n v="4.62"/>
    <n v="70.58"/>
    <n v="7"/>
  </r>
  <r>
    <n v="678"/>
    <x v="0"/>
    <s v="New York"/>
    <x v="0"/>
    <x v="0"/>
    <x v="4"/>
    <x v="4"/>
    <n v="4.58"/>
    <n v="7"/>
    <n v="2.2400000000000002"/>
    <n v="34.299999999999997"/>
    <n v="3"/>
  </r>
  <r>
    <n v="679"/>
    <x v="1"/>
    <s v="Los Angeles"/>
    <x v="1"/>
    <x v="0"/>
    <x v="2"/>
    <x v="2"/>
    <n v="4.5199999999999996"/>
    <n v="11"/>
    <n v="3.48"/>
    <n v="53.2"/>
    <n v="0"/>
  </r>
  <r>
    <n v="680"/>
    <x v="2"/>
    <s v="Chicago"/>
    <x v="0"/>
    <x v="1"/>
    <x v="3"/>
    <x v="3"/>
    <n v="15.75"/>
    <n v="18"/>
    <n v="19.850000000000001"/>
    <n v="303.35000000000002"/>
    <n v="30"/>
  </r>
  <r>
    <n v="681"/>
    <x v="2"/>
    <s v="Chicago"/>
    <x v="1"/>
    <x v="0"/>
    <x v="3"/>
    <x v="3"/>
    <n v="14.31"/>
    <n v="7"/>
    <n v="7.01"/>
    <n v="107.18"/>
    <n v="0"/>
  </r>
  <r>
    <n v="682"/>
    <x v="2"/>
    <s v="Chicago"/>
    <x v="0"/>
    <x v="1"/>
    <x v="2"/>
    <x v="2"/>
    <n v="19.77"/>
    <n v="8"/>
    <n v="11.07"/>
    <n v="169.23"/>
    <n v="16"/>
  </r>
  <r>
    <n v="683"/>
    <x v="0"/>
    <s v="New York"/>
    <x v="0"/>
    <x v="0"/>
    <x v="3"/>
    <x v="3"/>
    <n v="14.37"/>
    <n v="13"/>
    <n v="13.08"/>
    <n v="199.89"/>
    <n v="19"/>
  </r>
  <r>
    <n v="684"/>
    <x v="0"/>
    <s v="New York"/>
    <x v="0"/>
    <x v="1"/>
    <x v="0"/>
    <x v="0"/>
    <n v="13.05"/>
    <n v="14"/>
    <n v="12.79"/>
    <n v="195.49"/>
    <n v="19"/>
  </r>
  <r>
    <n v="685"/>
    <x v="0"/>
    <s v="New York"/>
    <x v="1"/>
    <x v="1"/>
    <x v="2"/>
    <x v="2"/>
    <n v="3.48"/>
    <n v="3"/>
    <n v="0.73"/>
    <n v="11.17"/>
    <n v="0"/>
  </r>
  <r>
    <n v="686"/>
    <x v="2"/>
    <s v="Chicago"/>
    <x v="1"/>
    <x v="1"/>
    <x v="1"/>
    <x v="1"/>
    <n v="4.33"/>
    <n v="2"/>
    <n v="0.61"/>
    <n v="9.27"/>
    <n v="0"/>
  </r>
  <r>
    <n v="687"/>
    <x v="2"/>
    <s v="Chicago"/>
    <x v="0"/>
    <x v="0"/>
    <x v="4"/>
    <x v="4"/>
    <n v="4.09"/>
    <n v="6"/>
    <n v="1.72"/>
    <n v="26.26"/>
    <n v="2"/>
  </r>
  <r>
    <n v="688"/>
    <x v="0"/>
    <s v="New York"/>
    <x v="0"/>
    <x v="1"/>
    <x v="3"/>
    <x v="3"/>
    <n v="4.58"/>
    <n v="5"/>
    <n v="1.6"/>
    <n v="24.5"/>
    <n v="2"/>
  </r>
  <r>
    <n v="689"/>
    <x v="0"/>
    <s v="New York"/>
    <x v="1"/>
    <x v="1"/>
    <x v="4"/>
    <x v="4"/>
    <n v="2.37"/>
    <n v="3"/>
    <n v="0.5"/>
    <n v="7.61"/>
    <n v="0"/>
  </r>
  <r>
    <n v="690"/>
    <x v="0"/>
    <s v="New York"/>
    <x v="0"/>
    <x v="1"/>
    <x v="1"/>
    <x v="1"/>
    <n v="4.1399999999999997"/>
    <n v="15"/>
    <n v="4.3499999999999996"/>
    <n v="66.45"/>
    <n v="6"/>
  </r>
  <r>
    <n v="691"/>
    <x v="0"/>
    <s v="New York"/>
    <x v="1"/>
    <x v="0"/>
    <x v="0"/>
    <x v="0"/>
    <n v="7.73"/>
    <n v="15"/>
    <n v="8.1199999999999992"/>
    <n v="124.07"/>
    <n v="0"/>
  </r>
  <r>
    <n v="692"/>
    <x v="1"/>
    <s v="Los Angeles"/>
    <x v="0"/>
    <x v="0"/>
    <x v="2"/>
    <x v="2"/>
    <n v="4.93"/>
    <n v="5"/>
    <n v="1.73"/>
    <n v="26.38"/>
    <n v="2"/>
  </r>
  <r>
    <n v="693"/>
    <x v="1"/>
    <s v="Los Angeles"/>
    <x v="1"/>
    <x v="0"/>
    <x v="2"/>
    <x v="2"/>
    <n v="5.47"/>
    <n v="6"/>
    <n v="2.2999999999999998"/>
    <n v="35.119999999999997"/>
    <n v="0"/>
  </r>
  <r>
    <n v="694"/>
    <x v="0"/>
    <s v="New York"/>
    <x v="0"/>
    <x v="1"/>
    <x v="3"/>
    <x v="3"/>
    <n v="6.05"/>
    <n v="6"/>
    <n v="2.54"/>
    <n v="38.840000000000003"/>
    <n v="3"/>
  </r>
  <r>
    <n v="695"/>
    <x v="0"/>
    <s v="New York"/>
    <x v="1"/>
    <x v="1"/>
    <x v="1"/>
    <x v="1"/>
    <n v="6.56"/>
    <n v="11"/>
    <n v="5.05"/>
    <n v="77.209999999999994"/>
    <n v="0"/>
  </r>
  <r>
    <n v="696"/>
    <x v="2"/>
    <s v="Chicago"/>
    <x v="0"/>
    <x v="1"/>
    <x v="3"/>
    <x v="3"/>
    <n v="7.46"/>
    <n v="19"/>
    <n v="9.92"/>
    <n v="151.66"/>
    <n v="15"/>
  </r>
  <r>
    <n v="697"/>
    <x v="1"/>
    <s v="Los Angeles"/>
    <x v="1"/>
    <x v="1"/>
    <x v="3"/>
    <x v="3"/>
    <n v="19.03"/>
    <n v="14"/>
    <n v="18.649999999999999"/>
    <n v="285.07"/>
    <n v="0"/>
  </r>
  <r>
    <n v="698"/>
    <x v="2"/>
    <s v="Chicago"/>
    <x v="1"/>
    <x v="1"/>
    <x v="2"/>
    <x v="2"/>
    <n v="18.52"/>
    <n v="2"/>
    <n v="2.59"/>
    <n v="39.630000000000003"/>
    <n v="0"/>
  </r>
  <r>
    <n v="699"/>
    <x v="1"/>
    <s v="Los Angeles"/>
    <x v="1"/>
    <x v="1"/>
    <x v="4"/>
    <x v="4"/>
    <n v="13.05"/>
    <n v="1"/>
    <n v="0.91"/>
    <n v="13.96"/>
    <n v="0"/>
  </r>
  <r>
    <n v="700"/>
    <x v="2"/>
    <s v="Chicago"/>
    <x v="1"/>
    <x v="0"/>
    <x v="0"/>
    <x v="0"/>
    <n v="12.81"/>
    <n v="20"/>
    <n v="17.93"/>
    <n v="274.13"/>
    <n v="0"/>
  </r>
  <r>
    <n v="701"/>
    <x v="2"/>
    <s v="Chicago"/>
    <x v="1"/>
    <x v="1"/>
    <x v="2"/>
    <x v="2"/>
    <n v="14.78"/>
    <n v="16"/>
    <n v="16.55"/>
    <n v="253.03"/>
    <n v="0"/>
  </r>
  <r>
    <n v="702"/>
    <x v="0"/>
    <s v="New York"/>
    <x v="0"/>
    <x v="0"/>
    <x v="3"/>
    <x v="3"/>
    <n v="18.54"/>
    <n v="13"/>
    <n v="16.87"/>
    <n v="257.89"/>
    <n v="25"/>
  </r>
  <r>
    <n v="703"/>
    <x v="0"/>
    <s v="New York"/>
    <x v="1"/>
    <x v="1"/>
    <x v="1"/>
    <x v="1"/>
    <n v="15.61"/>
    <n v="19"/>
    <n v="20.76"/>
    <n v="317.35000000000002"/>
    <n v="0"/>
  </r>
  <r>
    <n v="704"/>
    <x v="0"/>
    <s v="New York"/>
    <x v="0"/>
    <x v="0"/>
    <x v="0"/>
    <x v="0"/>
    <n v="17.93"/>
    <n v="11"/>
    <n v="13.81"/>
    <n v="211.04"/>
    <n v="21"/>
  </r>
  <r>
    <n v="705"/>
    <x v="1"/>
    <s v="Los Angeles"/>
    <x v="1"/>
    <x v="1"/>
    <x v="3"/>
    <x v="3"/>
    <n v="7.6"/>
    <n v="17"/>
    <n v="9.0399999999999991"/>
    <n v="138.24"/>
    <n v="0"/>
  </r>
  <r>
    <n v="706"/>
    <x v="2"/>
    <s v="Chicago"/>
    <x v="0"/>
    <x v="0"/>
    <x v="2"/>
    <x v="2"/>
    <n v="19.82"/>
    <n v="10"/>
    <n v="13.87"/>
    <n v="212.07"/>
    <n v="21"/>
  </r>
  <r>
    <n v="707"/>
    <x v="2"/>
    <s v="Chicago"/>
    <x v="0"/>
    <x v="1"/>
    <x v="4"/>
    <x v="4"/>
    <n v="10.89"/>
    <n v="18"/>
    <n v="13.72"/>
    <n v="209.74"/>
    <n v="20"/>
  </r>
  <r>
    <n v="708"/>
    <x v="2"/>
    <s v="Chicago"/>
    <x v="1"/>
    <x v="1"/>
    <x v="4"/>
    <x v="4"/>
    <n v="8.75"/>
    <n v="5"/>
    <n v="3.06"/>
    <n v="46.81"/>
    <n v="0"/>
  </r>
  <r>
    <n v="709"/>
    <x v="1"/>
    <s v="Los Angeles"/>
    <x v="0"/>
    <x v="0"/>
    <x v="1"/>
    <x v="1"/>
    <n v="1.42"/>
    <n v="2"/>
    <n v="0.2"/>
    <n v="3.04"/>
    <n v="0"/>
  </r>
  <r>
    <n v="710"/>
    <x v="2"/>
    <s v="Chicago"/>
    <x v="1"/>
    <x v="0"/>
    <x v="4"/>
    <x v="4"/>
    <n v="14.45"/>
    <n v="18"/>
    <n v="18.21"/>
    <n v="278.31"/>
    <n v="0"/>
  </r>
  <r>
    <n v="711"/>
    <x v="1"/>
    <s v="Los Angeles"/>
    <x v="0"/>
    <x v="1"/>
    <x v="4"/>
    <x v="4"/>
    <n v="3.52"/>
    <n v="7"/>
    <n v="1.72"/>
    <n v="26.36"/>
    <n v="2"/>
  </r>
  <r>
    <n v="712"/>
    <x v="2"/>
    <s v="Chicago"/>
    <x v="0"/>
    <x v="0"/>
    <x v="0"/>
    <x v="0"/>
    <n v="17.93"/>
    <n v="11"/>
    <n v="13.81"/>
    <n v="211.04"/>
    <n v="21"/>
  </r>
  <r>
    <n v="713"/>
    <x v="1"/>
    <s v="Los Angeles"/>
    <x v="0"/>
    <x v="1"/>
    <x v="0"/>
    <x v="0"/>
    <n v="6.21"/>
    <n v="3"/>
    <n v="1.3"/>
    <n v="19.93"/>
    <n v="1"/>
  </r>
  <r>
    <n v="714"/>
    <x v="0"/>
    <s v="New York"/>
    <x v="0"/>
    <x v="0"/>
    <x v="4"/>
    <x v="4"/>
    <n v="13.68"/>
    <n v="3"/>
    <n v="2.87"/>
    <n v="43.91"/>
    <n v="4"/>
  </r>
  <r>
    <n v="715"/>
    <x v="2"/>
    <s v="Chicago"/>
    <x v="1"/>
    <x v="0"/>
    <x v="4"/>
    <x v="4"/>
    <n v="11.7"/>
    <n v="6"/>
    <n v="4.91"/>
    <n v="75.11"/>
    <n v="0"/>
  </r>
  <r>
    <n v="716"/>
    <x v="0"/>
    <s v="New York"/>
    <x v="0"/>
    <x v="1"/>
    <x v="0"/>
    <x v="0"/>
    <n v="18.27"/>
    <n v="16"/>
    <n v="20.46"/>
    <n v="312.77999999999997"/>
    <n v="31"/>
  </r>
  <r>
    <n v="717"/>
    <x v="2"/>
    <s v="Chicago"/>
    <x v="0"/>
    <x v="0"/>
    <x v="2"/>
    <x v="2"/>
    <n v="2.4700000000000002"/>
    <n v="16"/>
    <n v="2.77"/>
    <n v="42.29"/>
    <n v="4"/>
  </r>
  <r>
    <n v="718"/>
    <x v="0"/>
    <s v="New York"/>
    <x v="1"/>
    <x v="0"/>
    <x v="0"/>
    <x v="0"/>
    <n v="2.81"/>
    <n v="20"/>
    <n v="3.93"/>
    <n v="60.13"/>
    <n v="0"/>
  </r>
  <r>
    <n v="719"/>
    <x v="2"/>
    <s v="Chicago"/>
    <x v="1"/>
    <x v="1"/>
    <x v="4"/>
    <x v="4"/>
    <n v="5.87"/>
    <n v="19"/>
    <n v="7.81"/>
    <n v="119.34"/>
    <n v="0"/>
  </r>
  <r>
    <n v="720"/>
    <x v="2"/>
    <s v="Chicago"/>
    <x v="0"/>
    <x v="1"/>
    <x v="2"/>
    <x v="2"/>
    <n v="1.0900000000000001"/>
    <n v="20"/>
    <n v="1.53"/>
    <n v="23.33"/>
    <n v="2"/>
  </r>
  <r>
    <n v="721"/>
    <x v="2"/>
    <s v="Chicago"/>
    <x v="0"/>
    <x v="1"/>
    <x v="3"/>
    <x v="3"/>
    <n v="20.04"/>
    <n v="15"/>
    <n v="21.04"/>
    <n v="321.64"/>
    <n v="32"/>
  </r>
  <r>
    <n v="722"/>
    <x v="0"/>
    <s v="New York"/>
    <x v="0"/>
    <x v="1"/>
    <x v="0"/>
    <x v="0"/>
    <n v="17.96"/>
    <n v="1"/>
    <n v="1.26"/>
    <n v="19.22"/>
    <n v="1"/>
  </r>
  <r>
    <n v="723"/>
    <x v="1"/>
    <s v="Los Angeles"/>
    <x v="0"/>
    <x v="0"/>
    <x v="0"/>
    <x v="0"/>
    <n v="14.97"/>
    <n v="13"/>
    <n v="13.62"/>
    <n v="208.23"/>
    <n v="20"/>
  </r>
  <r>
    <n v="724"/>
    <x v="2"/>
    <s v="Chicago"/>
    <x v="0"/>
    <x v="0"/>
    <x v="0"/>
    <x v="0"/>
    <n v="15.53"/>
    <n v="12"/>
    <n v="13.05"/>
    <n v="199.41"/>
    <n v="19"/>
  </r>
  <r>
    <n v="725"/>
    <x v="0"/>
    <s v="New York"/>
    <x v="0"/>
    <x v="1"/>
    <x v="3"/>
    <x v="3"/>
    <n v="7.83"/>
    <n v="15"/>
    <n v="8.2200000000000006"/>
    <n v="125.67"/>
    <n v="12"/>
  </r>
  <r>
    <n v="726"/>
    <x v="1"/>
    <s v="Los Angeles"/>
    <x v="0"/>
    <x v="0"/>
    <x v="2"/>
    <x v="2"/>
    <n v="10.11"/>
    <n v="1"/>
    <n v="0.71"/>
    <n v="10.82"/>
    <n v="1"/>
  </r>
  <r>
    <n v="727"/>
    <x v="0"/>
    <s v="New York"/>
    <x v="0"/>
    <x v="0"/>
    <x v="2"/>
    <x v="2"/>
    <n v="6"/>
    <n v="16"/>
    <n v="6.72"/>
    <n v="102.72"/>
    <n v="10"/>
  </r>
  <r>
    <n v="728"/>
    <x v="0"/>
    <s v="New York"/>
    <x v="0"/>
    <x v="1"/>
    <x v="1"/>
    <x v="1"/>
    <n v="9.32"/>
    <n v="20"/>
    <n v="13.05"/>
    <n v="199.45"/>
    <n v="19"/>
  </r>
  <r>
    <n v="729"/>
    <x v="2"/>
    <s v="Chicago"/>
    <x v="1"/>
    <x v="0"/>
    <x v="3"/>
    <x v="3"/>
    <n v="2.93"/>
    <n v="14"/>
    <n v="2.87"/>
    <n v="43.89"/>
    <n v="0"/>
  </r>
  <r>
    <n v="730"/>
    <x v="2"/>
    <s v="Chicago"/>
    <x v="0"/>
    <x v="0"/>
    <x v="3"/>
    <x v="3"/>
    <n v="12.67"/>
    <n v="11"/>
    <n v="9.76"/>
    <n v="149.13"/>
    <n v="14"/>
  </r>
  <r>
    <n v="731"/>
    <x v="2"/>
    <s v="Chicago"/>
    <x v="0"/>
    <x v="0"/>
    <x v="1"/>
    <x v="1"/>
    <n v="7.74"/>
    <n v="10"/>
    <n v="5.42"/>
    <n v="82.82"/>
    <n v="8"/>
  </r>
  <r>
    <n v="732"/>
    <x v="2"/>
    <s v="Chicago"/>
    <x v="1"/>
    <x v="1"/>
    <x v="3"/>
    <x v="3"/>
    <n v="2.4"/>
    <n v="17"/>
    <n v="2.86"/>
    <n v="43.66"/>
    <n v="0"/>
  </r>
  <r>
    <n v="733"/>
    <x v="1"/>
    <s v="Los Angeles"/>
    <x v="1"/>
    <x v="0"/>
    <x v="3"/>
    <x v="3"/>
    <n v="5.43"/>
    <n v="16"/>
    <n v="6.08"/>
    <n v="92.96"/>
    <n v="0"/>
  </r>
  <r>
    <n v="734"/>
    <x v="1"/>
    <s v="Los Angeles"/>
    <x v="0"/>
    <x v="0"/>
    <x v="1"/>
    <x v="1"/>
    <n v="14.92"/>
    <n v="17"/>
    <n v="17.75"/>
    <n v="271.39"/>
    <n v="27"/>
  </r>
  <r>
    <n v="735"/>
    <x v="0"/>
    <s v="New York"/>
    <x v="0"/>
    <x v="1"/>
    <x v="3"/>
    <x v="3"/>
    <n v="12.85"/>
    <n v="2"/>
    <n v="1.8"/>
    <n v="27.5"/>
    <n v="2"/>
  </r>
  <r>
    <n v="736"/>
    <x v="0"/>
    <s v="New York"/>
    <x v="0"/>
    <x v="0"/>
    <x v="0"/>
    <x v="0"/>
    <n v="16.190000000000001"/>
    <n v="9"/>
    <n v="10.199999999999999"/>
    <n v="155.91"/>
    <n v="15"/>
  </r>
  <r>
    <n v="737"/>
    <x v="0"/>
    <s v="New York"/>
    <x v="0"/>
    <x v="1"/>
    <x v="2"/>
    <x v="2"/>
    <n v="8.4700000000000006"/>
    <n v="15"/>
    <n v="8.89"/>
    <n v="135.94"/>
    <n v="13"/>
  </r>
  <r>
    <n v="738"/>
    <x v="1"/>
    <s v="Los Angeles"/>
    <x v="0"/>
    <x v="1"/>
    <x v="1"/>
    <x v="1"/>
    <n v="7.94"/>
    <n v="8"/>
    <n v="4.45"/>
    <n v="67.97"/>
    <n v="6"/>
  </r>
  <r>
    <n v="739"/>
    <x v="2"/>
    <s v="Chicago"/>
    <x v="1"/>
    <x v="0"/>
    <x v="1"/>
    <x v="1"/>
    <n v="18.04"/>
    <n v="18"/>
    <n v="22.73"/>
    <n v="347.45"/>
    <n v="0"/>
  </r>
  <r>
    <n v="740"/>
    <x v="0"/>
    <s v="New York"/>
    <x v="1"/>
    <x v="1"/>
    <x v="2"/>
    <x v="2"/>
    <n v="7.15"/>
    <n v="10"/>
    <n v="5.01"/>
    <n v="76.510000000000005"/>
    <n v="0"/>
  </r>
  <r>
    <n v="741"/>
    <x v="0"/>
    <s v="New York"/>
    <x v="0"/>
    <x v="0"/>
    <x v="1"/>
    <x v="1"/>
    <n v="9.92"/>
    <n v="3"/>
    <n v="2.08"/>
    <n v="31.84"/>
    <n v="3"/>
  </r>
  <r>
    <n v="742"/>
    <x v="2"/>
    <s v="Chicago"/>
    <x v="1"/>
    <x v="0"/>
    <x v="0"/>
    <x v="0"/>
    <n v="9.3699999999999992"/>
    <n v="9"/>
    <n v="5.9"/>
    <n v="90.23"/>
    <n v="0"/>
  </r>
  <r>
    <n v="743"/>
    <x v="2"/>
    <s v="Chicago"/>
    <x v="0"/>
    <x v="1"/>
    <x v="1"/>
    <x v="1"/>
    <n v="9.06"/>
    <n v="16"/>
    <n v="10.15"/>
    <n v="155.11000000000001"/>
    <n v="15"/>
  </r>
  <r>
    <n v="744"/>
    <x v="1"/>
    <s v="Los Angeles"/>
    <x v="1"/>
    <x v="0"/>
    <x v="3"/>
    <x v="3"/>
    <n v="16.32"/>
    <n v="1"/>
    <n v="1.1399999999999999"/>
    <n v="17.46"/>
    <n v="0"/>
  </r>
  <r>
    <n v="745"/>
    <x v="2"/>
    <s v="Chicago"/>
    <x v="0"/>
    <x v="0"/>
    <x v="4"/>
    <x v="4"/>
    <n v="20.23"/>
    <n v="14"/>
    <n v="19.829999999999998"/>
    <n v="303.05"/>
    <n v="30"/>
  </r>
  <r>
    <n v="746"/>
    <x v="2"/>
    <s v="Chicago"/>
    <x v="0"/>
    <x v="1"/>
    <x v="0"/>
    <x v="0"/>
    <n v="9.25"/>
    <n v="14"/>
    <n v="9.07"/>
    <n v="138.57"/>
    <n v="13"/>
  </r>
  <r>
    <n v="747"/>
    <x v="0"/>
    <s v="New York"/>
    <x v="1"/>
    <x v="0"/>
    <x v="4"/>
    <x v="4"/>
    <n v="16.84"/>
    <n v="1"/>
    <n v="1.18"/>
    <n v="18.02"/>
    <n v="0"/>
  </r>
  <r>
    <n v="748"/>
    <x v="1"/>
    <s v="Los Angeles"/>
    <x v="1"/>
    <x v="1"/>
    <x v="1"/>
    <x v="1"/>
    <n v="6.61"/>
    <n v="4"/>
    <n v="1.85"/>
    <n v="28.29"/>
    <n v="0"/>
  </r>
  <r>
    <n v="749"/>
    <x v="2"/>
    <s v="Chicago"/>
    <x v="1"/>
    <x v="1"/>
    <x v="1"/>
    <x v="1"/>
    <n v="13.59"/>
    <n v="12"/>
    <n v="11.42"/>
    <n v="174.5"/>
    <n v="0"/>
  </r>
  <r>
    <n v="750"/>
    <x v="0"/>
    <s v="New York"/>
    <x v="0"/>
    <x v="0"/>
    <x v="3"/>
    <x v="3"/>
    <n v="18.32"/>
    <n v="14"/>
    <n v="17.95"/>
    <n v="274.43"/>
    <n v="27"/>
  </r>
  <r>
    <n v="751"/>
    <x v="2"/>
    <s v="Chicago"/>
    <x v="1"/>
    <x v="0"/>
    <x v="2"/>
    <x v="2"/>
    <n v="12.14"/>
    <n v="20"/>
    <n v="17"/>
    <n v="259.8"/>
    <n v="0"/>
  </r>
  <r>
    <n v="752"/>
    <x v="2"/>
    <s v="Chicago"/>
    <x v="0"/>
    <x v="1"/>
    <x v="3"/>
    <x v="3"/>
    <n v="7.98"/>
    <n v="3"/>
    <n v="1.68"/>
    <n v="25.62"/>
    <n v="2"/>
  </r>
  <r>
    <n v="753"/>
    <x v="1"/>
    <s v="Los Angeles"/>
    <x v="0"/>
    <x v="0"/>
    <x v="4"/>
    <x v="4"/>
    <n v="7.87"/>
    <n v="3"/>
    <n v="1.65"/>
    <n v="25.26"/>
    <n v="2"/>
  </r>
  <r>
    <n v="754"/>
    <x v="2"/>
    <s v="Chicago"/>
    <x v="1"/>
    <x v="0"/>
    <x v="4"/>
    <x v="4"/>
    <n v="16.89"/>
    <n v="17"/>
    <n v="20.100000000000001"/>
    <n v="307.23"/>
    <n v="0"/>
  </r>
  <r>
    <n v="755"/>
    <x v="2"/>
    <s v="Chicago"/>
    <x v="0"/>
    <x v="0"/>
    <x v="3"/>
    <x v="3"/>
    <n v="3.09"/>
    <n v="2"/>
    <n v="0.43"/>
    <n v="6.61"/>
    <n v="0"/>
  </r>
  <r>
    <n v="756"/>
    <x v="1"/>
    <s v="Los Angeles"/>
    <x v="0"/>
    <x v="1"/>
    <x v="4"/>
    <x v="4"/>
    <n v="2.2000000000000002"/>
    <n v="20"/>
    <n v="3.08"/>
    <n v="47.08"/>
    <n v="4"/>
  </r>
  <r>
    <n v="757"/>
    <x v="2"/>
    <s v="Chicago"/>
    <x v="0"/>
    <x v="1"/>
    <x v="2"/>
    <x v="2"/>
    <n v="2.73"/>
    <n v="10"/>
    <n v="1.91"/>
    <n v="29.21"/>
    <n v="2"/>
  </r>
  <r>
    <n v="758"/>
    <x v="1"/>
    <s v="Los Angeles"/>
    <x v="0"/>
    <x v="0"/>
    <x v="0"/>
    <x v="0"/>
    <n v="16.62"/>
    <n v="12"/>
    <n v="13.96"/>
    <n v="213.4"/>
    <n v="21"/>
  </r>
  <r>
    <n v="759"/>
    <x v="1"/>
    <s v="Los Angeles"/>
    <x v="1"/>
    <x v="0"/>
    <x v="4"/>
    <x v="4"/>
    <n v="16.489999999999998"/>
    <n v="2"/>
    <n v="2.31"/>
    <n v="35.29"/>
    <n v="0"/>
  </r>
  <r>
    <n v="760"/>
    <x v="2"/>
    <s v="Chicago"/>
    <x v="1"/>
    <x v="0"/>
    <x v="4"/>
    <x v="4"/>
    <n v="19.920000000000002"/>
    <n v="6"/>
    <n v="8.3699999999999992"/>
    <n v="127.89"/>
    <n v="0"/>
  </r>
  <r>
    <n v="761"/>
    <x v="1"/>
    <s v="Los Angeles"/>
    <x v="1"/>
    <x v="1"/>
    <x v="2"/>
    <x v="2"/>
    <n v="20.74"/>
    <n v="19"/>
    <n v="27.58"/>
    <n v="421.64"/>
    <n v="0"/>
  </r>
  <r>
    <n v="762"/>
    <x v="1"/>
    <s v="Los Angeles"/>
    <x v="0"/>
    <x v="0"/>
    <x v="4"/>
    <x v="4"/>
    <n v="13.25"/>
    <n v="6"/>
    <n v="5.57"/>
    <n v="85.07"/>
    <n v="8"/>
  </r>
  <r>
    <n v="763"/>
    <x v="0"/>
    <s v="New York"/>
    <x v="0"/>
    <x v="1"/>
    <x v="3"/>
    <x v="3"/>
    <n v="10.46"/>
    <n v="18"/>
    <n v="13.18"/>
    <n v="201.46"/>
    <n v="20"/>
  </r>
  <r>
    <n v="764"/>
    <x v="1"/>
    <s v="Los Angeles"/>
    <x v="1"/>
    <x v="1"/>
    <x v="4"/>
    <x v="4"/>
    <n v="2.84"/>
    <n v="18"/>
    <n v="3.58"/>
    <n v="54.7"/>
    <n v="0"/>
  </r>
  <r>
    <n v="765"/>
    <x v="0"/>
    <s v="New York"/>
    <x v="1"/>
    <x v="0"/>
    <x v="3"/>
    <x v="3"/>
    <n v="9.0399999999999991"/>
    <n v="17"/>
    <n v="10.76"/>
    <n v="164.44"/>
    <n v="0"/>
  </r>
  <r>
    <n v="766"/>
    <x v="2"/>
    <s v="Chicago"/>
    <x v="0"/>
    <x v="1"/>
    <x v="0"/>
    <x v="0"/>
    <n v="9.84"/>
    <n v="4"/>
    <n v="2.76"/>
    <n v="42.12"/>
    <n v="4"/>
  </r>
  <r>
    <n v="767"/>
    <x v="2"/>
    <s v="Chicago"/>
    <x v="0"/>
    <x v="0"/>
    <x v="2"/>
    <x v="2"/>
    <n v="10.210000000000001"/>
    <n v="8"/>
    <n v="5.72"/>
    <n v="87.4"/>
    <n v="8"/>
  </r>
  <r>
    <n v="768"/>
    <x v="1"/>
    <s v="Los Angeles"/>
    <x v="1"/>
    <x v="1"/>
    <x v="4"/>
    <x v="4"/>
    <n v="10.46"/>
    <n v="5"/>
    <n v="3.66"/>
    <n v="55.96"/>
    <n v="0"/>
  </r>
  <r>
    <n v="769"/>
    <x v="0"/>
    <s v="New York"/>
    <x v="1"/>
    <x v="0"/>
    <x v="2"/>
    <x v="2"/>
    <n v="15.93"/>
    <n v="11"/>
    <n v="12.27"/>
    <n v="187.5"/>
    <n v="0"/>
  </r>
  <r>
    <n v="770"/>
    <x v="0"/>
    <s v="New York"/>
    <x v="1"/>
    <x v="1"/>
    <x v="1"/>
    <x v="1"/>
    <n v="10.11"/>
    <n v="14"/>
    <n v="9.91"/>
    <n v="151.44999999999999"/>
    <n v="0"/>
  </r>
  <r>
    <n v="771"/>
    <x v="2"/>
    <s v="Chicago"/>
    <x v="1"/>
    <x v="0"/>
    <x v="0"/>
    <x v="0"/>
    <n v="10.97"/>
    <n v="18"/>
    <n v="13.82"/>
    <n v="211.28"/>
    <n v="0"/>
  </r>
  <r>
    <n v="772"/>
    <x v="1"/>
    <s v="Los Angeles"/>
    <x v="0"/>
    <x v="0"/>
    <x v="2"/>
    <x v="2"/>
    <n v="11.4"/>
    <n v="1"/>
    <n v="0.8"/>
    <n v="12.2"/>
    <n v="1"/>
  </r>
  <r>
    <n v="773"/>
    <x v="0"/>
    <s v="New York"/>
    <x v="1"/>
    <x v="1"/>
    <x v="4"/>
    <x v="4"/>
    <n v="14.63"/>
    <n v="11"/>
    <n v="11.27"/>
    <n v="172.2"/>
    <n v="0"/>
  </r>
  <r>
    <n v="774"/>
    <x v="0"/>
    <s v="New York"/>
    <x v="1"/>
    <x v="1"/>
    <x v="2"/>
    <x v="2"/>
    <n v="16.48"/>
    <n v="5"/>
    <n v="5.77"/>
    <n v="88.17"/>
    <n v="0"/>
  </r>
  <r>
    <n v="775"/>
    <x v="2"/>
    <s v="Chicago"/>
    <x v="1"/>
    <x v="1"/>
    <x v="3"/>
    <x v="3"/>
    <n v="1.72"/>
    <n v="15"/>
    <n v="1.81"/>
    <n v="27.61"/>
    <n v="0"/>
  </r>
  <r>
    <n v="776"/>
    <x v="2"/>
    <s v="Chicago"/>
    <x v="0"/>
    <x v="0"/>
    <x v="0"/>
    <x v="0"/>
    <n v="17.12"/>
    <n v="15"/>
    <n v="17.98"/>
    <n v="274.77999999999997"/>
    <n v="27"/>
  </r>
  <r>
    <n v="777"/>
    <x v="1"/>
    <s v="Los Angeles"/>
    <x v="0"/>
    <x v="1"/>
    <x v="3"/>
    <x v="3"/>
    <n v="8.81"/>
    <n v="4"/>
    <n v="2.4700000000000002"/>
    <n v="37.71"/>
    <n v="3"/>
  </r>
  <r>
    <n v="778"/>
    <x v="1"/>
    <s v="Los Angeles"/>
    <x v="0"/>
    <x v="0"/>
    <x v="4"/>
    <x v="4"/>
    <n v="3.11"/>
    <n v="4"/>
    <n v="0.87"/>
    <n v="13.31"/>
    <n v="1"/>
  </r>
  <r>
    <n v="779"/>
    <x v="1"/>
    <s v="Los Angeles"/>
    <x v="0"/>
    <x v="1"/>
    <x v="4"/>
    <x v="4"/>
    <n v="10.57"/>
    <n v="20"/>
    <n v="14.8"/>
    <n v="226.2"/>
    <n v="22"/>
  </r>
  <r>
    <n v="780"/>
    <x v="2"/>
    <s v="Chicago"/>
    <x v="1"/>
    <x v="0"/>
    <x v="0"/>
    <x v="0"/>
    <n v="6.64"/>
    <n v="7"/>
    <n v="3.25"/>
    <n v="49.73"/>
    <n v="0"/>
  </r>
  <r>
    <n v="781"/>
    <x v="2"/>
    <s v="Chicago"/>
    <x v="1"/>
    <x v="0"/>
    <x v="0"/>
    <x v="0"/>
    <n v="17.37"/>
    <n v="20"/>
    <n v="24.32"/>
    <n v="371.72"/>
    <n v="0"/>
  </r>
  <r>
    <n v="782"/>
    <x v="0"/>
    <s v="New York"/>
    <x v="0"/>
    <x v="1"/>
    <x v="3"/>
    <x v="3"/>
    <n v="4.9400000000000004"/>
    <n v="7"/>
    <n v="2.42"/>
    <n v="37"/>
    <n v="3"/>
  </r>
  <r>
    <n v="783"/>
    <x v="2"/>
    <s v="Chicago"/>
    <x v="0"/>
    <x v="1"/>
    <x v="3"/>
    <x v="3"/>
    <n v="4.62"/>
    <n v="3"/>
    <n v="0.97"/>
    <n v="14.83"/>
    <n v="1"/>
  </r>
  <r>
    <n v="784"/>
    <x v="1"/>
    <s v="Los Angeles"/>
    <x v="1"/>
    <x v="0"/>
    <x v="1"/>
    <x v="1"/>
    <n v="10.23"/>
    <n v="10"/>
    <n v="7.16"/>
    <n v="109.46"/>
    <n v="0"/>
  </r>
  <r>
    <n v="785"/>
    <x v="0"/>
    <s v="New York"/>
    <x v="1"/>
    <x v="1"/>
    <x v="2"/>
    <x v="2"/>
    <n v="9.94"/>
    <n v="6"/>
    <n v="4.17"/>
    <n v="63.81"/>
    <n v="0"/>
  </r>
  <r>
    <n v="786"/>
    <x v="2"/>
    <s v="Chicago"/>
    <x v="1"/>
    <x v="0"/>
    <x v="0"/>
    <x v="0"/>
    <n v="5.14"/>
    <n v="17"/>
    <n v="6.12"/>
    <n v="93.5"/>
    <n v="0"/>
  </r>
  <r>
    <n v="787"/>
    <x v="2"/>
    <s v="Chicago"/>
    <x v="1"/>
    <x v="0"/>
    <x v="0"/>
    <x v="0"/>
    <n v="17.649999999999999"/>
    <n v="12"/>
    <n v="14.83"/>
    <n v="226.63"/>
    <n v="0"/>
  </r>
  <r>
    <n v="788"/>
    <x v="2"/>
    <s v="Chicago"/>
    <x v="1"/>
    <x v="1"/>
    <x v="3"/>
    <x v="3"/>
    <n v="10.01"/>
    <n v="20"/>
    <n v="14.01"/>
    <n v="214.21"/>
    <n v="0"/>
  </r>
  <r>
    <n v="789"/>
    <x v="1"/>
    <s v="Los Angeles"/>
    <x v="0"/>
    <x v="1"/>
    <x v="1"/>
    <x v="1"/>
    <n v="1.82"/>
    <n v="18"/>
    <n v="2.29"/>
    <n v="35.049999999999997"/>
    <n v="3"/>
  </r>
  <r>
    <n v="790"/>
    <x v="0"/>
    <s v="New York"/>
    <x v="1"/>
    <x v="1"/>
    <x v="0"/>
    <x v="0"/>
    <n v="16.309999999999999"/>
    <n v="7"/>
    <n v="7.99"/>
    <n v="122.16"/>
    <n v="0"/>
  </r>
  <r>
    <n v="791"/>
    <x v="1"/>
    <s v="Los Angeles"/>
    <x v="0"/>
    <x v="0"/>
    <x v="3"/>
    <x v="3"/>
    <n v="11.87"/>
    <n v="2"/>
    <n v="1.66"/>
    <n v="25.4"/>
    <n v="2"/>
  </r>
  <r>
    <n v="792"/>
    <x v="0"/>
    <s v="New York"/>
    <x v="1"/>
    <x v="0"/>
    <x v="3"/>
    <x v="3"/>
    <n v="2.97"/>
    <n v="10"/>
    <n v="2.08"/>
    <n v="31.78"/>
    <n v="0"/>
  </r>
  <r>
    <n v="793"/>
    <x v="1"/>
    <s v="Los Angeles"/>
    <x v="0"/>
    <x v="0"/>
    <x v="1"/>
    <x v="1"/>
    <n v="5.86"/>
    <n v="18"/>
    <n v="7.38"/>
    <n v="112.86"/>
    <n v="11"/>
  </r>
  <r>
    <n v="794"/>
    <x v="0"/>
    <s v="New York"/>
    <x v="1"/>
    <x v="1"/>
    <x v="1"/>
    <x v="1"/>
    <n v="2.2799999999999998"/>
    <n v="16"/>
    <n v="2.5499999999999998"/>
    <n v="39.03"/>
    <n v="0"/>
  </r>
  <r>
    <n v="795"/>
    <x v="1"/>
    <s v="Los Angeles"/>
    <x v="0"/>
    <x v="1"/>
    <x v="2"/>
    <x v="2"/>
    <n v="5.17"/>
    <n v="2"/>
    <n v="0.72"/>
    <n v="11.06"/>
    <n v="1"/>
  </r>
  <r>
    <n v="796"/>
    <x v="2"/>
    <s v="Chicago"/>
    <x v="0"/>
    <x v="0"/>
    <x v="0"/>
    <x v="0"/>
    <n v="8.75"/>
    <n v="6"/>
    <n v="3.68"/>
    <n v="56.18"/>
    <n v="5"/>
  </r>
  <r>
    <n v="797"/>
    <x v="0"/>
    <s v="New York"/>
    <x v="0"/>
    <x v="0"/>
    <x v="4"/>
    <x v="4"/>
    <n v="1.87"/>
    <n v="18"/>
    <n v="2.36"/>
    <n v="36.020000000000003"/>
    <n v="3"/>
  </r>
  <r>
    <n v="798"/>
    <x v="0"/>
    <s v="New York"/>
    <x v="0"/>
    <x v="1"/>
    <x v="4"/>
    <x v="4"/>
    <n v="12.01"/>
    <n v="11"/>
    <n v="9.25"/>
    <n v="141.36000000000001"/>
    <n v="14"/>
  </r>
  <r>
    <n v="799"/>
    <x v="0"/>
    <s v="New York"/>
    <x v="1"/>
    <x v="1"/>
    <x v="1"/>
    <x v="1"/>
    <n v="4.05"/>
    <n v="3"/>
    <n v="0.85"/>
    <n v="13"/>
    <n v="0"/>
  </r>
  <r>
    <n v="800"/>
    <x v="2"/>
    <s v="Chicago"/>
    <x v="0"/>
    <x v="1"/>
    <x v="3"/>
    <x v="3"/>
    <n v="6.27"/>
    <n v="20"/>
    <n v="8.7799999999999994"/>
    <n v="134.18"/>
    <n v="13"/>
  </r>
  <r>
    <n v="801"/>
    <x v="1"/>
    <s v="Los Angeles"/>
    <x v="0"/>
    <x v="1"/>
    <x v="2"/>
    <x v="2"/>
    <n v="9.58"/>
    <n v="14"/>
    <n v="9.39"/>
    <n v="143.51"/>
    <n v="14"/>
  </r>
  <r>
    <n v="802"/>
    <x v="2"/>
    <s v="Chicago"/>
    <x v="1"/>
    <x v="0"/>
    <x v="3"/>
    <x v="3"/>
    <n v="6.88"/>
    <n v="4"/>
    <n v="1.93"/>
    <n v="29.45"/>
    <n v="0"/>
  </r>
  <r>
    <n v="803"/>
    <x v="2"/>
    <s v="Chicago"/>
    <x v="0"/>
    <x v="1"/>
    <x v="0"/>
    <x v="0"/>
    <n v="1.1000000000000001"/>
    <n v="16"/>
    <n v="1.23"/>
    <n v="18.829999999999998"/>
    <n v="1"/>
  </r>
  <r>
    <n v="804"/>
    <x v="0"/>
    <s v="New York"/>
    <x v="0"/>
    <x v="1"/>
    <x v="1"/>
    <x v="1"/>
    <n v="4.26"/>
    <n v="7"/>
    <n v="2.09"/>
    <n v="31.91"/>
    <n v="3"/>
  </r>
  <r>
    <n v="805"/>
    <x v="1"/>
    <s v="Los Angeles"/>
    <x v="1"/>
    <x v="1"/>
    <x v="4"/>
    <x v="4"/>
    <n v="11.11"/>
    <n v="19"/>
    <n v="14.78"/>
    <n v="225.87"/>
    <n v="0"/>
  </r>
  <r>
    <n v="806"/>
    <x v="2"/>
    <s v="Chicago"/>
    <x v="1"/>
    <x v="1"/>
    <x v="4"/>
    <x v="4"/>
    <n v="7.64"/>
    <n v="20"/>
    <n v="10.7"/>
    <n v="163.5"/>
    <n v="0"/>
  </r>
  <r>
    <n v="807"/>
    <x v="2"/>
    <s v="Chicago"/>
    <x v="1"/>
    <x v="0"/>
    <x v="2"/>
    <x v="2"/>
    <n v="9.7799999999999994"/>
    <n v="5"/>
    <n v="3.42"/>
    <n v="52.32"/>
    <n v="0"/>
  </r>
  <r>
    <n v="808"/>
    <x v="2"/>
    <s v="Chicago"/>
    <x v="1"/>
    <x v="0"/>
    <x v="3"/>
    <x v="3"/>
    <n v="8.92"/>
    <n v="4"/>
    <n v="2.5"/>
    <n v="38.18"/>
    <n v="0"/>
  </r>
  <r>
    <n v="809"/>
    <x v="1"/>
    <s v="Los Angeles"/>
    <x v="0"/>
    <x v="1"/>
    <x v="3"/>
    <x v="3"/>
    <n v="3.82"/>
    <n v="4"/>
    <n v="1.07"/>
    <n v="16.350000000000001"/>
    <n v="1"/>
  </r>
  <r>
    <n v="810"/>
    <x v="0"/>
    <s v="New York"/>
    <x v="0"/>
    <x v="1"/>
    <x v="2"/>
    <x v="2"/>
    <n v="17.25"/>
    <n v="4"/>
    <n v="4.83"/>
    <n v="73.83"/>
    <n v="7"/>
  </r>
  <r>
    <n v="811"/>
    <x v="2"/>
    <s v="Chicago"/>
    <x v="0"/>
    <x v="1"/>
    <x v="1"/>
    <x v="1"/>
    <n v="5.52"/>
    <n v="20"/>
    <n v="7.73"/>
    <n v="118.13"/>
    <n v="11"/>
  </r>
  <r>
    <n v="812"/>
    <x v="1"/>
    <s v="Los Angeles"/>
    <x v="1"/>
    <x v="1"/>
    <x v="2"/>
    <x v="2"/>
    <n v="19.05"/>
    <n v="19"/>
    <n v="25.34"/>
    <n v="387.29"/>
    <n v="0"/>
  </r>
  <r>
    <n v="813"/>
    <x v="1"/>
    <s v="Los Angeles"/>
    <x v="1"/>
    <x v="0"/>
    <x v="3"/>
    <x v="3"/>
    <n v="20.23"/>
    <n v="19"/>
    <n v="26.91"/>
    <n v="411.28"/>
    <n v="0"/>
  </r>
  <r>
    <n v="814"/>
    <x v="2"/>
    <s v="Chicago"/>
    <x v="1"/>
    <x v="1"/>
    <x v="2"/>
    <x v="2"/>
    <n v="6.24"/>
    <n v="10"/>
    <n v="4.37"/>
    <n v="66.77"/>
    <n v="0"/>
  </r>
  <r>
    <n v="815"/>
    <x v="2"/>
    <s v="Chicago"/>
    <x v="0"/>
    <x v="0"/>
    <x v="2"/>
    <x v="2"/>
    <n v="15.98"/>
    <n v="8"/>
    <n v="8.9499999999999993"/>
    <n v="136.79"/>
    <n v="13"/>
  </r>
  <r>
    <n v="816"/>
    <x v="1"/>
    <s v="Los Angeles"/>
    <x v="0"/>
    <x v="1"/>
    <x v="1"/>
    <x v="1"/>
    <n v="3.05"/>
    <n v="17"/>
    <n v="3.63"/>
    <n v="55.48"/>
    <n v="5"/>
  </r>
  <r>
    <n v="817"/>
    <x v="2"/>
    <s v="Chicago"/>
    <x v="0"/>
    <x v="1"/>
    <x v="1"/>
    <x v="1"/>
    <n v="14.43"/>
    <n v="18"/>
    <n v="18.18"/>
    <n v="277.92"/>
    <n v="27"/>
  </r>
  <r>
    <n v="818"/>
    <x v="1"/>
    <s v="Los Angeles"/>
    <x v="1"/>
    <x v="0"/>
    <x v="4"/>
    <x v="4"/>
    <n v="9"/>
    <n v="1"/>
    <n v="0.63"/>
    <n v="9.6300000000000008"/>
    <n v="0"/>
  </r>
  <r>
    <n v="819"/>
    <x v="1"/>
    <s v="Los Angeles"/>
    <x v="0"/>
    <x v="1"/>
    <x v="1"/>
    <x v="1"/>
    <n v="3.96"/>
    <n v="20"/>
    <n v="5.54"/>
    <n v="84.74"/>
    <n v="8"/>
  </r>
  <r>
    <n v="820"/>
    <x v="0"/>
    <s v="New York"/>
    <x v="0"/>
    <x v="1"/>
    <x v="0"/>
    <x v="0"/>
    <n v="12.87"/>
    <n v="7"/>
    <n v="6.31"/>
    <n v="96.4"/>
    <n v="9"/>
  </r>
  <r>
    <n v="821"/>
    <x v="1"/>
    <s v="Los Angeles"/>
    <x v="0"/>
    <x v="1"/>
    <x v="3"/>
    <x v="3"/>
    <n v="20.21"/>
    <n v="14"/>
    <n v="19.809999999999999"/>
    <n v="302.75"/>
    <n v="30"/>
  </r>
  <r>
    <n v="822"/>
    <x v="0"/>
    <s v="New York"/>
    <x v="0"/>
    <x v="1"/>
    <x v="0"/>
    <x v="0"/>
    <n v="6.1"/>
    <n v="18"/>
    <n v="7.69"/>
    <n v="117.49"/>
    <n v="11"/>
  </r>
  <r>
    <n v="823"/>
    <x v="1"/>
    <s v="Los Angeles"/>
    <x v="0"/>
    <x v="1"/>
    <x v="3"/>
    <x v="3"/>
    <n v="18.97"/>
    <n v="3"/>
    <n v="3.98"/>
    <n v="60.89"/>
    <n v="6"/>
  </r>
  <r>
    <n v="824"/>
    <x v="2"/>
    <s v="Chicago"/>
    <x v="1"/>
    <x v="1"/>
    <x v="3"/>
    <x v="3"/>
    <n v="20.64"/>
    <n v="8"/>
    <n v="11.56"/>
    <n v="176.68"/>
    <n v="0"/>
  </r>
  <r>
    <n v="825"/>
    <x v="1"/>
    <s v="Los Angeles"/>
    <x v="0"/>
    <x v="0"/>
    <x v="0"/>
    <x v="0"/>
    <n v="14.76"/>
    <n v="15"/>
    <n v="15.5"/>
    <n v="236.9"/>
    <n v="23"/>
  </r>
  <r>
    <n v="826"/>
    <x v="1"/>
    <s v="Los Angeles"/>
    <x v="1"/>
    <x v="0"/>
    <x v="2"/>
    <x v="2"/>
    <n v="16.21"/>
    <n v="15"/>
    <n v="17.02"/>
    <n v="260.17"/>
    <n v="0"/>
  </r>
  <r>
    <n v="827"/>
    <x v="2"/>
    <s v="Chicago"/>
    <x v="1"/>
    <x v="0"/>
    <x v="4"/>
    <x v="4"/>
    <n v="11.91"/>
    <n v="13"/>
    <n v="10.84"/>
    <n v="165.67"/>
    <n v="0"/>
  </r>
  <r>
    <n v="828"/>
    <x v="0"/>
    <s v="New York"/>
    <x v="0"/>
    <x v="1"/>
    <x v="1"/>
    <x v="1"/>
    <n v="10.34"/>
    <n v="4"/>
    <n v="2.9"/>
    <n v="44.26"/>
    <n v="4"/>
  </r>
  <r>
    <n v="829"/>
    <x v="1"/>
    <s v="Los Angeles"/>
    <x v="1"/>
    <x v="0"/>
    <x v="1"/>
    <x v="1"/>
    <n v="1.33"/>
    <n v="17"/>
    <n v="1.58"/>
    <n v="24.19"/>
    <n v="0"/>
  </r>
  <r>
    <n v="830"/>
    <x v="0"/>
    <s v="New York"/>
    <x v="0"/>
    <x v="0"/>
    <x v="2"/>
    <x v="2"/>
    <n v="12.95"/>
    <n v="14"/>
    <n v="12.69"/>
    <n v="193.99"/>
    <n v="19"/>
  </r>
  <r>
    <n v="831"/>
    <x v="1"/>
    <s v="Los Angeles"/>
    <x v="1"/>
    <x v="1"/>
    <x v="1"/>
    <x v="1"/>
    <n v="9.07"/>
    <n v="17"/>
    <n v="10.79"/>
    <n v="164.98"/>
    <n v="0"/>
  </r>
  <r>
    <n v="832"/>
    <x v="2"/>
    <s v="Chicago"/>
    <x v="0"/>
    <x v="1"/>
    <x v="2"/>
    <x v="2"/>
    <n v="7.59"/>
    <n v="10"/>
    <n v="5.31"/>
    <n v="81.209999999999994"/>
    <n v="8"/>
  </r>
  <r>
    <n v="833"/>
    <x v="0"/>
    <s v="New York"/>
    <x v="0"/>
    <x v="0"/>
    <x v="4"/>
    <x v="4"/>
    <n v="18.920000000000002"/>
    <n v="5"/>
    <n v="6.62"/>
    <n v="101.22"/>
    <n v="10"/>
  </r>
  <r>
    <n v="834"/>
    <x v="2"/>
    <s v="Chicago"/>
    <x v="0"/>
    <x v="0"/>
    <x v="4"/>
    <x v="4"/>
    <n v="20.61"/>
    <n v="12"/>
    <n v="17.309999999999999"/>
    <n v="264.63"/>
    <n v="26"/>
  </r>
  <r>
    <n v="835"/>
    <x v="1"/>
    <s v="Los Angeles"/>
    <x v="0"/>
    <x v="1"/>
    <x v="1"/>
    <x v="1"/>
    <n v="18.97"/>
    <n v="7"/>
    <n v="9.3000000000000007"/>
    <n v="142.09"/>
    <n v="14"/>
  </r>
  <r>
    <n v="836"/>
    <x v="0"/>
    <s v="New York"/>
    <x v="0"/>
    <x v="0"/>
    <x v="3"/>
    <x v="3"/>
    <n v="17.34"/>
    <n v="18"/>
    <n v="21.85"/>
    <n v="333.97"/>
    <n v="33"/>
  </r>
  <r>
    <n v="837"/>
    <x v="2"/>
    <s v="Chicago"/>
    <x v="0"/>
    <x v="0"/>
    <x v="0"/>
    <x v="0"/>
    <n v="10.78"/>
    <n v="17"/>
    <n v="12.83"/>
    <n v="196.09"/>
    <n v="19"/>
  </r>
  <r>
    <n v="838"/>
    <x v="2"/>
    <s v="Chicago"/>
    <x v="1"/>
    <x v="1"/>
    <x v="0"/>
    <x v="0"/>
    <n v="11.41"/>
    <n v="20"/>
    <n v="15.97"/>
    <n v="244.17"/>
    <n v="0"/>
  </r>
  <r>
    <n v="839"/>
    <x v="0"/>
    <s v="New York"/>
    <x v="0"/>
    <x v="0"/>
    <x v="0"/>
    <x v="0"/>
    <n v="14.63"/>
    <n v="19"/>
    <n v="19.46"/>
    <n v="297.43"/>
    <n v="29"/>
  </r>
  <r>
    <n v="840"/>
    <x v="1"/>
    <s v="Los Angeles"/>
    <x v="1"/>
    <x v="1"/>
    <x v="0"/>
    <x v="0"/>
    <n v="20.51"/>
    <n v="1"/>
    <n v="1.44"/>
    <n v="21.95"/>
    <n v="0"/>
  </r>
  <r>
    <n v="841"/>
    <x v="2"/>
    <s v="Chicago"/>
    <x v="1"/>
    <x v="1"/>
    <x v="2"/>
    <x v="2"/>
    <n v="12.4"/>
    <n v="7"/>
    <n v="6.08"/>
    <n v="92.88"/>
    <n v="0"/>
  </r>
  <r>
    <n v="842"/>
    <x v="2"/>
    <s v="Chicago"/>
    <x v="0"/>
    <x v="0"/>
    <x v="2"/>
    <x v="2"/>
    <n v="19.399999999999999"/>
    <n v="10"/>
    <n v="13.58"/>
    <n v="207.58"/>
    <n v="20"/>
  </r>
  <r>
    <n v="843"/>
    <x v="0"/>
    <s v="New York"/>
    <x v="0"/>
    <x v="0"/>
    <x v="1"/>
    <x v="1"/>
    <n v="9.01"/>
    <n v="7"/>
    <n v="4.41"/>
    <n v="67.48"/>
    <n v="6"/>
  </r>
  <r>
    <n v="844"/>
    <x v="0"/>
    <s v="New York"/>
    <x v="1"/>
    <x v="0"/>
    <x v="0"/>
    <x v="0"/>
    <n v="20.64"/>
    <n v="5"/>
    <n v="7.22"/>
    <n v="110.42"/>
    <n v="0"/>
  </r>
  <r>
    <n v="845"/>
    <x v="0"/>
    <s v="New York"/>
    <x v="0"/>
    <x v="1"/>
    <x v="4"/>
    <x v="4"/>
    <n v="1.1000000000000001"/>
    <n v="10"/>
    <n v="0.77"/>
    <n v="11.77"/>
    <n v="1"/>
  </r>
  <r>
    <n v="846"/>
    <x v="2"/>
    <s v="Chicago"/>
    <x v="1"/>
    <x v="1"/>
    <x v="0"/>
    <x v="0"/>
    <n v="13.11"/>
    <n v="7"/>
    <n v="6.42"/>
    <n v="98.19"/>
    <n v="0"/>
  </r>
  <r>
    <n v="847"/>
    <x v="1"/>
    <s v="Los Angeles"/>
    <x v="0"/>
    <x v="0"/>
    <x v="0"/>
    <x v="0"/>
    <n v="14.26"/>
    <n v="16"/>
    <n v="15.97"/>
    <n v="244.13"/>
    <n v="24"/>
  </r>
  <r>
    <n v="848"/>
    <x v="0"/>
    <s v="New York"/>
    <x v="1"/>
    <x v="1"/>
    <x v="1"/>
    <x v="1"/>
    <n v="2.42"/>
    <n v="9"/>
    <n v="1.52"/>
    <n v="23.3"/>
    <n v="0"/>
  </r>
  <r>
    <n v="849"/>
    <x v="0"/>
    <s v="New York"/>
    <x v="1"/>
    <x v="0"/>
    <x v="4"/>
    <x v="4"/>
    <n v="4.84"/>
    <n v="4"/>
    <n v="1.36"/>
    <n v="20.72"/>
    <n v="0"/>
  </r>
  <r>
    <n v="850"/>
    <x v="0"/>
    <s v="New York"/>
    <x v="0"/>
    <x v="0"/>
    <x v="4"/>
    <x v="4"/>
    <n v="1.9"/>
    <n v="11"/>
    <n v="1.46"/>
    <n v="22.36"/>
    <n v="2"/>
  </r>
  <r>
    <n v="851"/>
    <x v="1"/>
    <s v="Los Angeles"/>
    <x v="1"/>
    <x v="0"/>
    <x v="4"/>
    <x v="4"/>
    <n v="8.39"/>
    <n v="16"/>
    <n v="9.4"/>
    <n v="143.63999999999999"/>
    <n v="0"/>
  </r>
  <r>
    <n v="852"/>
    <x v="0"/>
    <s v="New York"/>
    <x v="1"/>
    <x v="1"/>
    <x v="4"/>
    <x v="4"/>
    <n v="12.13"/>
    <n v="19"/>
    <n v="16.13"/>
    <n v="246.6"/>
    <n v="0"/>
  </r>
  <r>
    <n v="853"/>
    <x v="2"/>
    <s v="Chicago"/>
    <x v="0"/>
    <x v="1"/>
    <x v="0"/>
    <x v="0"/>
    <n v="5.44"/>
    <n v="7"/>
    <n v="2.67"/>
    <n v="40.75"/>
    <n v="4"/>
  </r>
  <r>
    <n v="854"/>
    <x v="2"/>
    <s v="Chicago"/>
    <x v="1"/>
    <x v="0"/>
    <x v="3"/>
    <x v="3"/>
    <n v="15.31"/>
    <n v="10"/>
    <n v="10.72"/>
    <n v="163.82"/>
    <n v="0"/>
  </r>
  <r>
    <n v="855"/>
    <x v="2"/>
    <s v="Chicago"/>
    <x v="1"/>
    <x v="0"/>
    <x v="4"/>
    <x v="4"/>
    <n v="8.7200000000000006"/>
    <n v="15"/>
    <n v="9.16"/>
    <n v="139.96"/>
    <n v="0"/>
  </r>
  <r>
    <n v="856"/>
    <x v="2"/>
    <s v="Chicago"/>
    <x v="0"/>
    <x v="1"/>
    <x v="3"/>
    <x v="3"/>
    <n v="3.05"/>
    <n v="19"/>
    <n v="4.0599999999999996"/>
    <n v="62.01"/>
    <n v="6"/>
  </r>
  <r>
    <n v="857"/>
    <x v="1"/>
    <s v="Los Angeles"/>
    <x v="1"/>
    <x v="0"/>
    <x v="0"/>
    <x v="0"/>
    <n v="1.05"/>
    <n v="15"/>
    <n v="1.1000000000000001"/>
    <n v="16.850000000000001"/>
    <n v="0"/>
  </r>
  <r>
    <n v="858"/>
    <x v="0"/>
    <s v="New York"/>
    <x v="0"/>
    <x v="1"/>
    <x v="4"/>
    <x v="4"/>
    <n v="6.48"/>
    <n v="7"/>
    <n v="3.18"/>
    <n v="48.54"/>
    <n v="4"/>
  </r>
  <r>
    <n v="859"/>
    <x v="2"/>
    <s v="Chicago"/>
    <x v="1"/>
    <x v="0"/>
    <x v="1"/>
    <x v="1"/>
    <n v="14.8"/>
    <n v="10"/>
    <n v="10.36"/>
    <n v="158.36000000000001"/>
    <n v="0"/>
  </r>
  <r>
    <n v="860"/>
    <x v="0"/>
    <s v="New York"/>
    <x v="0"/>
    <x v="0"/>
    <x v="0"/>
    <x v="0"/>
    <n v="15.1"/>
    <n v="18"/>
    <n v="19.03"/>
    <n v="290.83"/>
    <n v="29"/>
  </r>
  <r>
    <n v="861"/>
    <x v="0"/>
    <s v="New York"/>
    <x v="0"/>
    <x v="1"/>
    <x v="0"/>
    <x v="0"/>
    <n v="9.34"/>
    <n v="16"/>
    <n v="10.46"/>
    <n v="159.9"/>
    <n v="15"/>
  </r>
  <r>
    <n v="862"/>
    <x v="1"/>
    <s v="Los Angeles"/>
    <x v="1"/>
    <x v="1"/>
    <x v="1"/>
    <x v="1"/>
    <n v="1.27"/>
    <n v="8"/>
    <n v="0.71"/>
    <n v="10.87"/>
    <n v="0"/>
  </r>
  <r>
    <n v="863"/>
    <x v="2"/>
    <s v="Chicago"/>
    <x v="0"/>
    <x v="0"/>
    <x v="1"/>
    <x v="1"/>
    <n v="19.440000000000001"/>
    <n v="2"/>
    <n v="2.72"/>
    <n v="41.6"/>
    <n v="4"/>
  </r>
  <r>
    <n v="864"/>
    <x v="2"/>
    <s v="Chicago"/>
    <x v="0"/>
    <x v="0"/>
    <x v="1"/>
    <x v="1"/>
    <n v="2.83"/>
    <n v="6"/>
    <n v="1.19"/>
    <n v="18.170000000000002"/>
    <n v="1"/>
  </r>
  <r>
    <n v="865"/>
    <x v="0"/>
    <s v="New York"/>
    <x v="1"/>
    <x v="1"/>
    <x v="2"/>
    <x v="2"/>
    <n v="16.170000000000002"/>
    <n v="3"/>
    <n v="3.4"/>
    <n v="51.91"/>
    <n v="0"/>
  </r>
  <r>
    <n v="866"/>
    <x v="2"/>
    <s v="Chicago"/>
    <x v="0"/>
    <x v="1"/>
    <x v="4"/>
    <x v="4"/>
    <n v="4.67"/>
    <n v="13"/>
    <n v="4.25"/>
    <n v="64.959999999999994"/>
    <n v="6"/>
  </r>
  <r>
    <n v="867"/>
    <x v="1"/>
    <s v="Los Angeles"/>
    <x v="0"/>
    <x v="0"/>
    <x v="3"/>
    <x v="3"/>
    <n v="14.69"/>
    <n v="18"/>
    <n v="18.510000000000002"/>
    <n v="282.93"/>
    <n v="28"/>
  </r>
  <r>
    <n v="868"/>
    <x v="2"/>
    <s v="Chicago"/>
    <x v="1"/>
    <x v="0"/>
    <x v="0"/>
    <x v="0"/>
    <n v="5.88"/>
    <n v="13"/>
    <n v="5.35"/>
    <n v="81.790000000000006"/>
    <n v="0"/>
  </r>
  <r>
    <n v="869"/>
    <x v="1"/>
    <s v="Los Angeles"/>
    <x v="0"/>
    <x v="1"/>
    <x v="1"/>
    <x v="1"/>
    <n v="12.1"/>
    <n v="16"/>
    <n v="13.55"/>
    <n v="207.15"/>
    <n v="20"/>
  </r>
  <r>
    <n v="870"/>
    <x v="0"/>
    <s v="New York"/>
    <x v="1"/>
    <x v="0"/>
    <x v="2"/>
    <x v="2"/>
    <n v="4.1399999999999997"/>
    <n v="15"/>
    <n v="4.3499999999999996"/>
    <n v="66.45"/>
    <n v="0"/>
  </r>
  <r>
    <n v="871"/>
    <x v="0"/>
    <s v="New York"/>
    <x v="0"/>
    <x v="1"/>
    <x v="0"/>
    <x v="0"/>
    <n v="9.86"/>
    <n v="15"/>
    <n v="10.35"/>
    <n v="158.25"/>
    <n v="15"/>
  </r>
  <r>
    <n v="872"/>
    <x v="2"/>
    <s v="Chicago"/>
    <x v="1"/>
    <x v="0"/>
    <x v="4"/>
    <x v="4"/>
    <n v="2.82"/>
    <n v="18"/>
    <n v="3.55"/>
    <n v="54.31"/>
    <n v="0"/>
  </r>
  <r>
    <n v="873"/>
    <x v="0"/>
    <s v="New York"/>
    <x v="1"/>
    <x v="1"/>
    <x v="0"/>
    <x v="0"/>
    <n v="5.25"/>
    <n v="13"/>
    <n v="4.78"/>
    <n v="73.03"/>
    <n v="0"/>
  </r>
  <r>
    <n v="874"/>
    <x v="1"/>
    <s v="Los Angeles"/>
    <x v="1"/>
    <x v="0"/>
    <x v="4"/>
    <x v="4"/>
    <n v="6.42"/>
    <n v="18"/>
    <n v="8.09"/>
    <n v="123.65"/>
    <n v="0"/>
  </r>
  <r>
    <n v="875"/>
    <x v="2"/>
    <s v="Chicago"/>
    <x v="0"/>
    <x v="1"/>
    <x v="3"/>
    <x v="3"/>
    <n v="4.3"/>
    <n v="14"/>
    <n v="4.21"/>
    <n v="64.41"/>
    <n v="6"/>
  </r>
  <r>
    <n v="876"/>
    <x v="0"/>
    <s v="New York"/>
    <x v="0"/>
    <x v="0"/>
    <x v="0"/>
    <x v="0"/>
    <n v="3.13"/>
    <n v="17"/>
    <n v="3.72"/>
    <n v="56.93"/>
    <n v="5"/>
  </r>
  <r>
    <n v="877"/>
    <x v="1"/>
    <s v="Los Angeles"/>
    <x v="0"/>
    <x v="0"/>
    <x v="2"/>
    <x v="2"/>
    <n v="16.36"/>
    <n v="10"/>
    <n v="11.45"/>
    <n v="175.05"/>
    <n v="17"/>
  </r>
  <r>
    <n v="878"/>
    <x v="0"/>
    <s v="New York"/>
    <x v="0"/>
    <x v="0"/>
    <x v="2"/>
    <x v="2"/>
    <n v="11.71"/>
    <n v="11"/>
    <n v="9.02"/>
    <n v="137.83000000000001"/>
    <n v="13"/>
  </r>
  <r>
    <n v="879"/>
    <x v="2"/>
    <s v="Chicago"/>
    <x v="1"/>
    <x v="0"/>
    <x v="0"/>
    <x v="0"/>
    <n v="15.68"/>
    <n v="1"/>
    <n v="1.1000000000000001"/>
    <n v="16.78"/>
    <n v="0"/>
  </r>
  <r>
    <n v="880"/>
    <x v="0"/>
    <s v="New York"/>
    <x v="1"/>
    <x v="1"/>
    <x v="0"/>
    <x v="0"/>
    <n v="7.14"/>
    <n v="2"/>
    <n v="1"/>
    <n v="15.28"/>
    <n v="0"/>
  </r>
  <r>
    <n v="881"/>
    <x v="0"/>
    <s v="New York"/>
    <x v="0"/>
    <x v="1"/>
    <x v="0"/>
    <x v="0"/>
    <n v="20.98"/>
    <n v="16"/>
    <n v="23.5"/>
    <n v="359.18"/>
    <n v="35"/>
  </r>
  <r>
    <n v="882"/>
    <x v="1"/>
    <s v="Los Angeles"/>
    <x v="0"/>
    <x v="1"/>
    <x v="0"/>
    <x v="0"/>
    <n v="10.45"/>
    <n v="3"/>
    <n v="2.19"/>
    <n v="33.54"/>
    <n v="3"/>
  </r>
  <r>
    <n v="883"/>
    <x v="1"/>
    <s v="Los Angeles"/>
    <x v="0"/>
    <x v="1"/>
    <x v="2"/>
    <x v="2"/>
    <n v="8.61"/>
    <n v="19"/>
    <n v="11.45"/>
    <n v="175.04"/>
    <n v="17"/>
  </r>
  <r>
    <n v="884"/>
    <x v="0"/>
    <s v="New York"/>
    <x v="0"/>
    <x v="1"/>
    <x v="2"/>
    <x v="2"/>
    <n v="12.16"/>
    <n v="19"/>
    <n v="16.170000000000002"/>
    <n v="247.21"/>
    <n v="24"/>
  </r>
  <r>
    <n v="885"/>
    <x v="0"/>
    <s v="New York"/>
    <x v="1"/>
    <x v="0"/>
    <x v="0"/>
    <x v="0"/>
    <n v="6.11"/>
    <n v="2"/>
    <n v="0.86"/>
    <n v="13.08"/>
    <n v="0"/>
  </r>
  <r>
    <n v="886"/>
    <x v="0"/>
    <s v="New York"/>
    <x v="1"/>
    <x v="1"/>
    <x v="4"/>
    <x v="4"/>
    <n v="17.829999999999998"/>
    <n v="8"/>
    <n v="9.98"/>
    <n v="152.62"/>
    <n v="0"/>
  </r>
  <r>
    <n v="887"/>
    <x v="2"/>
    <s v="Chicago"/>
    <x v="0"/>
    <x v="1"/>
    <x v="0"/>
    <x v="0"/>
    <n v="6.21"/>
    <n v="17"/>
    <n v="7.39"/>
    <n v="112.96"/>
    <n v="11"/>
  </r>
  <r>
    <n v="888"/>
    <x v="2"/>
    <s v="Chicago"/>
    <x v="0"/>
    <x v="1"/>
    <x v="1"/>
    <x v="1"/>
    <n v="10.65"/>
    <n v="19"/>
    <n v="14.16"/>
    <n v="216.51"/>
    <n v="21"/>
  </r>
  <r>
    <n v="889"/>
    <x v="1"/>
    <s v="Los Angeles"/>
    <x v="1"/>
    <x v="1"/>
    <x v="4"/>
    <x v="4"/>
    <n v="2.71"/>
    <n v="19"/>
    <n v="3.6"/>
    <n v="55.09"/>
    <n v="0"/>
  </r>
  <r>
    <n v="890"/>
    <x v="0"/>
    <s v="New York"/>
    <x v="0"/>
    <x v="1"/>
    <x v="4"/>
    <x v="4"/>
    <n v="10.27"/>
    <n v="2"/>
    <n v="1.44"/>
    <n v="21.98"/>
    <n v="2"/>
  </r>
  <r>
    <n v="891"/>
    <x v="2"/>
    <s v="Chicago"/>
    <x v="1"/>
    <x v="1"/>
    <x v="1"/>
    <x v="1"/>
    <n v="18.309999999999999"/>
    <n v="9"/>
    <n v="11.54"/>
    <n v="176.33"/>
    <n v="0"/>
  </r>
  <r>
    <n v="892"/>
    <x v="2"/>
    <s v="Chicago"/>
    <x v="0"/>
    <x v="0"/>
    <x v="0"/>
    <x v="0"/>
    <n v="5.95"/>
    <n v="3"/>
    <n v="1.25"/>
    <n v="19.100000000000001"/>
    <n v="1"/>
  </r>
  <r>
    <n v="893"/>
    <x v="1"/>
    <s v="Los Angeles"/>
    <x v="1"/>
    <x v="1"/>
    <x v="0"/>
    <x v="0"/>
    <n v="7.27"/>
    <n v="16"/>
    <n v="8.14"/>
    <n v="124.46"/>
    <n v="0"/>
  </r>
  <r>
    <n v="894"/>
    <x v="2"/>
    <s v="Chicago"/>
    <x v="1"/>
    <x v="0"/>
    <x v="2"/>
    <x v="2"/>
    <n v="9.82"/>
    <n v="14"/>
    <n v="9.6199999999999992"/>
    <n v="147.1"/>
    <n v="0"/>
  </r>
  <r>
    <n v="895"/>
    <x v="2"/>
    <s v="Chicago"/>
    <x v="0"/>
    <x v="0"/>
    <x v="3"/>
    <x v="3"/>
    <n v="8.24"/>
    <n v="13"/>
    <n v="7.5"/>
    <n v="114.62"/>
    <n v="11"/>
  </r>
  <r>
    <n v="896"/>
    <x v="1"/>
    <s v="Los Angeles"/>
    <x v="0"/>
    <x v="1"/>
    <x v="4"/>
    <x v="4"/>
    <n v="4.54"/>
    <n v="10"/>
    <n v="3.18"/>
    <n v="48.58"/>
    <n v="4"/>
  </r>
  <r>
    <n v="897"/>
    <x v="0"/>
    <s v="New York"/>
    <x v="1"/>
    <x v="1"/>
    <x v="1"/>
    <x v="1"/>
    <n v="17.649999999999999"/>
    <n v="5"/>
    <n v="6.18"/>
    <n v="94.43"/>
    <n v="0"/>
  </r>
  <r>
    <n v="898"/>
    <x v="1"/>
    <s v="Los Angeles"/>
    <x v="1"/>
    <x v="1"/>
    <x v="2"/>
    <x v="2"/>
    <n v="1.54"/>
    <n v="19"/>
    <n v="2.0499999999999998"/>
    <n v="31.31"/>
    <n v="0"/>
  </r>
  <r>
    <n v="899"/>
    <x v="2"/>
    <s v="Chicago"/>
    <x v="1"/>
    <x v="1"/>
    <x v="1"/>
    <x v="1"/>
    <n v="7.33"/>
    <n v="1"/>
    <n v="0.51"/>
    <n v="7.84"/>
    <n v="0"/>
  </r>
  <r>
    <n v="900"/>
    <x v="1"/>
    <s v="Los Angeles"/>
    <x v="1"/>
    <x v="0"/>
    <x v="4"/>
    <x v="4"/>
    <n v="5.36"/>
    <n v="2"/>
    <n v="0.75"/>
    <n v="11.47"/>
    <n v="0"/>
  </r>
  <r>
    <n v="901"/>
    <x v="2"/>
    <s v="Chicago"/>
    <x v="0"/>
    <x v="0"/>
    <x v="2"/>
    <x v="2"/>
    <n v="16.100000000000001"/>
    <n v="6"/>
    <n v="6.76"/>
    <n v="103.36"/>
    <n v="10"/>
  </r>
  <r>
    <n v="902"/>
    <x v="0"/>
    <s v="New York"/>
    <x v="1"/>
    <x v="0"/>
    <x v="3"/>
    <x v="3"/>
    <n v="13.4"/>
    <n v="17"/>
    <n v="15.95"/>
    <n v="243.75"/>
    <n v="0"/>
  </r>
  <r>
    <n v="903"/>
    <x v="1"/>
    <s v="Los Angeles"/>
    <x v="0"/>
    <x v="0"/>
    <x v="0"/>
    <x v="0"/>
    <n v="20.92"/>
    <n v="18"/>
    <n v="26.36"/>
    <n v="402.92"/>
    <n v="40"/>
  </r>
  <r>
    <n v="904"/>
    <x v="2"/>
    <s v="Chicago"/>
    <x v="0"/>
    <x v="1"/>
    <x v="0"/>
    <x v="0"/>
    <n v="18.41"/>
    <n v="7"/>
    <n v="9.02"/>
    <n v="137.88999999999999"/>
    <n v="13"/>
  </r>
  <r>
    <n v="905"/>
    <x v="1"/>
    <s v="Los Angeles"/>
    <x v="0"/>
    <x v="0"/>
    <x v="1"/>
    <x v="1"/>
    <n v="20.260000000000002"/>
    <n v="2"/>
    <n v="2.84"/>
    <n v="43.36"/>
    <n v="4"/>
  </r>
  <r>
    <n v="906"/>
    <x v="0"/>
    <s v="New York"/>
    <x v="1"/>
    <x v="0"/>
    <x v="3"/>
    <x v="3"/>
    <n v="20.68"/>
    <n v="14"/>
    <n v="20.27"/>
    <n v="309.79000000000002"/>
    <n v="0"/>
  </r>
  <r>
    <n v="907"/>
    <x v="2"/>
    <s v="Chicago"/>
    <x v="0"/>
    <x v="1"/>
    <x v="0"/>
    <x v="0"/>
    <n v="16.57"/>
    <n v="17"/>
    <n v="19.72"/>
    <n v="301.41000000000003"/>
    <n v="30"/>
  </r>
  <r>
    <n v="908"/>
    <x v="1"/>
    <s v="Los Angeles"/>
    <x v="1"/>
    <x v="0"/>
    <x v="3"/>
    <x v="3"/>
    <n v="5.33"/>
    <n v="2"/>
    <n v="0.75"/>
    <n v="11.41"/>
    <n v="0"/>
  </r>
  <r>
    <n v="909"/>
    <x v="0"/>
    <s v="New York"/>
    <x v="0"/>
    <x v="1"/>
    <x v="4"/>
    <x v="4"/>
    <n v="16.32"/>
    <n v="17"/>
    <n v="19.420000000000002"/>
    <n v="296.86"/>
    <n v="29"/>
  </r>
  <r>
    <n v="910"/>
    <x v="1"/>
    <s v="Los Angeles"/>
    <x v="0"/>
    <x v="0"/>
    <x v="0"/>
    <x v="0"/>
    <n v="10.119999999999999"/>
    <n v="12"/>
    <n v="8.5"/>
    <n v="129.94"/>
    <n v="12"/>
  </r>
  <r>
    <n v="911"/>
    <x v="2"/>
    <s v="Chicago"/>
    <x v="0"/>
    <x v="0"/>
    <x v="0"/>
    <x v="0"/>
    <n v="10.51"/>
    <n v="5"/>
    <n v="3.68"/>
    <n v="56.23"/>
    <n v="5"/>
  </r>
  <r>
    <n v="912"/>
    <x v="0"/>
    <s v="New York"/>
    <x v="1"/>
    <x v="1"/>
    <x v="1"/>
    <x v="1"/>
    <n v="6.32"/>
    <n v="4"/>
    <n v="1.77"/>
    <n v="27.05"/>
    <n v="0"/>
  </r>
  <r>
    <n v="913"/>
    <x v="0"/>
    <s v="New York"/>
    <x v="0"/>
    <x v="0"/>
    <x v="3"/>
    <x v="3"/>
    <n v="12.12"/>
    <n v="9"/>
    <n v="7.64"/>
    <n v="116.72"/>
    <n v="11"/>
  </r>
  <r>
    <n v="914"/>
    <x v="0"/>
    <s v="New York"/>
    <x v="0"/>
    <x v="1"/>
    <x v="2"/>
    <x v="2"/>
    <n v="10.69"/>
    <n v="2"/>
    <n v="1.5"/>
    <n v="22.88"/>
    <n v="2"/>
  </r>
  <r>
    <n v="915"/>
    <x v="2"/>
    <s v="Chicago"/>
    <x v="0"/>
    <x v="0"/>
    <x v="3"/>
    <x v="3"/>
    <n v="15.85"/>
    <n v="16"/>
    <n v="17.75"/>
    <n v="271.35000000000002"/>
    <n v="27"/>
  </r>
  <r>
    <n v="916"/>
    <x v="2"/>
    <s v="Chicago"/>
    <x v="1"/>
    <x v="0"/>
    <x v="2"/>
    <x v="2"/>
    <n v="4.5999999999999996"/>
    <n v="7"/>
    <n v="2.25"/>
    <n v="34.450000000000003"/>
    <n v="0"/>
  </r>
  <r>
    <n v="917"/>
    <x v="0"/>
    <s v="New York"/>
    <x v="1"/>
    <x v="1"/>
    <x v="2"/>
    <x v="2"/>
    <n v="5.18"/>
    <n v="3"/>
    <n v="1.0900000000000001"/>
    <n v="16.63"/>
    <n v="0"/>
  </r>
  <r>
    <n v="918"/>
    <x v="0"/>
    <s v="New York"/>
    <x v="0"/>
    <x v="0"/>
    <x v="4"/>
    <x v="4"/>
    <n v="6.64"/>
    <n v="11"/>
    <n v="5.1100000000000003"/>
    <n v="78.150000000000006"/>
    <n v="7"/>
  </r>
  <r>
    <n v="919"/>
    <x v="0"/>
    <s v="New York"/>
    <x v="0"/>
    <x v="1"/>
    <x v="2"/>
    <x v="2"/>
    <n v="16.03"/>
    <n v="19"/>
    <n v="21.32"/>
    <n v="325.89"/>
    <n v="32"/>
  </r>
  <r>
    <n v="920"/>
    <x v="1"/>
    <s v="Los Angeles"/>
    <x v="1"/>
    <x v="1"/>
    <x v="0"/>
    <x v="0"/>
    <n v="14.18"/>
    <n v="12"/>
    <n v="11.91"/>
    <n v="182.07"/>
    <n v="0"/>
  </r>
  <r>
    <n v="921"/>
    <x v="2"/>
    <s v="Chicago"/>
    <x v="0"/>
    <x v="1"/>
    <x v="3"/>
    <x v="3"/>
    <n v="17.989999999999998"/>
    <n v="12"/>
    <n v="15.11"/>
    <n v="230.99"/>
    <n v="23"/>
  </r>
  <r>
    <n v="922"/>
    <x v="0"/>
    <s v="New York"/>
    <x v="0"/>
    <x v="1"/>
    <x v="0"/>
    <x v="0"/>
    <n v="12.99"/>
    <n v="13"/>
    <n v="11.82"/>
    <n v="180.69"/>
    <n v="18"/>
  </r>
  <r>
    <n v="923"/>
    <x v="0"/>
    <s v="New York"/>
    <x v="0"/>
    <x v="1"/>
    <x v="2"/>
    <x v="2"/>
    <n v="13.91"/>
    <n v="4"/>
    <n v="3.89"/>
    <n v="59.53"/>
    <n v="5"/>
  </r>
  <r>
    <n v="924"/>
    <x v="0"/>
    <s v="New York"/>
    <x v="1"/>
    <x v="0"/>
    <x v="4"/>
    <x v="4"/>
    <n v="2.23"/>
    <n v="3"/>
    <n v="0.47"/>
    <n v="7.16"/>
    <n v="0"/>
  </r>
  <r>
    <n v="925"/>
    <x v="1"/>
    <s v="Los Angeles"/>
    <x v="0"/>
    <x v="1"/>
    <x v="1"/>
    <x v="1"/>
    <n v="19.96"/>
    <n v="4"/>
    <n v="5.59"/>
    <n v="85.43"/>
    <n v="8"/>
  </r>
  <r>
    <n v="926"/>
    <x v="0"/>
    <s v="New York"/>
    <x v="1"/>
    <x v="0"/>
    <x v="4"/>
    <x v="4"/>
    <n v="17.690000000000001"/>
    <n v="19"/>
    <n v="23.53"/>
    <n v="359.64"/>
    <n v="0"/>
  </r>
  <r>
    <n v="927"/>
    <x v="2"/>
    <s v="Chicago"/>
    <x v="0"/>
    <x v="0"/>
    <x v="0"/>
    <x v="0"/>
    <n v="8.3800000000000008"/>
    <n v="17"/>
    <n v="9.9700000000000006"/>
    <n v="152.43"/>
    <n v="15"/>
  </r>
  <r>
    <n v="928"/>
    <x v="0"/>
    <s v="New York"/>
    <x v="0"/>
    <x v="1"/>
    <x v="3"/>
    <x v="3"/>
    <n v="9.4"/>
    <n v="3"/>
    <n v="1.97"/>
    <n v="30.17"/>
    <n v="3"/>
  </r>
  <r>
    <n v="929"/>
    <x v="1"/>
    <s v="Los Angeles"/>
    <x v="1"/>
    <x v="0"/>
    <x v="0"/>
    <x v="0"/>
    <n v="4.6900000000000004"/>
    <n v="9"/>
    <n v="2.95"/>
    <n v="45.16"/>
    <n v="0"/>
  </r>
  <r>
    <n v="930"/>
    <x v="1"/>
    <s v="Los Angeles"/>
    <x v="0"/>
    <x v="0"/>
    <x v="3"/>
    <x v="3"/>
    <n v="4.71"/>
    <n v="18"/>
    <n v="5.93"/>
    <n v="90.71"/>
    <n v="9"/>
  </r>
  <r>
    <n v="931"/>
    <x v="0"/>
    <s v="New York"/>
    <x v="0"/>
    <x v="0"/>
    <x v="3"/>
    <x v="3"/>
    <n v="15.74"/>
    <n v="19"/>
    <n v="20.93"/>
    <n v="319.99"/>
    <n v="31"/>
  </r>
  <r>
    <n v="932"/>
    <x v="1"/>
    <s v="Los Angeles"/>
    <x v="1"/>
    <x v="0"/>
    <x v="0"/>
    <x v="0"/>
    <n v="15.45"/>
    <n v="11"/>
    <n v="11.9"/>
    <n v="181.85"/>
    <n v="0"/>
  </r>
  <r>
    <n v="933"/>
    <x v="0"/>
    <s v="New York"/>
    <x v="0"/>
    <x v="1"/>
    <x v="4"/>
    <x v="4"/>
    <n v="18.54"/>
    <n v="11"/>
    <n v="14.28"/>
    <n v="218.22"/>
    <n v="21"/>
  </r>
  <r>
    <n v="934"/>
    <x v="0"/>
    <s v="New York"/>
    <x v="0"/>
    <x v="1"/>
    <x v="4"/>
    <x v="4"/>
    <n v="3.24"/>
    <n v="3"/>
    <n v="0.68"/>
    <n v="10.4"/>
    <n v="1"/>
  </r>
  <r>
    <n v="935"/>
    <x v="2"/>
    <s v="Chicago"/>
    <x v="1"/>
    <x v="1"/>
    <x v="0"/>
    <x v="0"/>
    <n v="7.94"/>
    <n v="18"/>
    <n v="10"/>
    <n v="152.91999999999999"/>
    <n v="0"/>
  </r>
  <r>
    <n v="936"/>
    <x v="1"/>
    <s v="Los Angeles"/>
    <x v="0"/>
    <x v="0"/>
    <x v="2"/>
    <x v="2"/>
    <n v="5.92"/>
    <n v="7"/>
    <n v="2.9"/>
    <n v="44.34"/>
    <n v="4"/>
  </r>
  <r>
    <n v="937"/>
    <x v="2"/>
    <s v="Chicago"/>
    <x v="0"/>
    <x v="1"/>
    <x v="0"/>
    <x v="0"/>
    <n v="5.8"/>
    <n v="18"/>
    <n v="7.31"/>
    <n v="111.71"/>
    <n v="11"/>
  </r>
  <r>
    <n v="938"/>
    <x v="0"/>
    <s v="New York"/>
    <x v="0"/>
    <x v="1"/>
    <x v="0"/>
    <x v="0"/>
    <n v="12.98"/>
    <n v="12"/>
    <n v="10.9"/>
    <n v="166.66"/>
    <n v="16"/>
  </r>
  <r>
    <n v="939"/>
    <x v="0"/>
    <s v="New York"/>
    <x v="1"/>
    <x v="0"/>
    <x v="2"/>
    <x v="2"/>
    <n v="5.0999999999999996"/>
    <n v="2"/>
    <n v="0.71"/>
    <n v="10.91"/>
    <n v="0"/>
  </r>
  <r>
    <n v="940"/>
    <x v="0"/>
    <s v="New York"/>
    <x v="0"/>
    <x v="1"/>
    <x v="1"/>
    <x v="1"/>
    <n v="19.02"/>
    <n v="6"/>
    <n v="7.99"/>
    <n v="122.11"/>
    <n v="12"/>
  </r>
  <r>
    <n v="941"/>
    <x v="2"/>
    <s v="Chicago"/>
    <x v="0"/>
    <x v="1"/>
    <x v="4"/>
    <x v="4"/>
    <n v="8.9499999999999993"/>
    <n v="7"/>
    <n v="4.3899999999999997"/>
    <n v="67.040000000000006"/>
    <n v="6"/>
  </r>
  <r>
    <n v="942"/>
    <x v="0"/>
    <s v="New York"/>
    <x v="1"/>
    <x v="1"/>
    <x v="0"/>
    <x v="0"/>
    <n v="10.92"/>
    <n v="18"/>
    <n v="13.76"/>
    <n v="210.32"/>
    <n v="0"/>
  </r>
  <r>
    <n v="943"/>
    <x v="0"/>
    <s v="New York"/>
    <x v="0"/>
    <x v="0"/>
    <x v="2"/>
    <x v="2"/>
    <n v="10.77"/>
    <n v="4"/>
    <n v="3.02"/>
    <n v="46.1"/>
    <n v="4"/>
  </r>
  <r>
    <n v="944"/>
    <x v="1"/>
    <s v="Los Angeles"/>
    <x v="1"/>
    <x v="1"/>
    <x v="4"/>
    <x v="4"/>
    <n v="3.14"/>
    <n v="19"/>
    <n v="4.18"/>
    <n v="63.84"/>
    <n v="0"/>
  </r>
  <r>
    <n v="945"/>
    <x v="1"/>
    <s v="Los Angeles"/>
    <x v="0"/>
    <x v="1"/>
    <x v="4"/>
    <x v="4"/>
    <n v="13.01"/>
    <n v="16"/>
    <n v="14.57"/>
    <n v="222.73"/>
    <n v="22"/>
  </r>
  <r>
    <n v="946"/>
    <x v="2"/>
    <s v="Chicago"/>
    <x v="1"/>
    <x v="0"/>
    <x v="1"/>
    <x v="1"/>
    <n v="7.43"/>
    <n v="8"/>
    <n v="4.16"/>
    <n v="63.6"/>
    <n v="0"/>
  </r>
  <r>
    <n v="947"/>
    <x v="2"/>
    <s v="Chicago"/>
    <x v="1"/>
    <x v="0"/>
    <x v="1"/>
    <x v="1"/>
    <n v="13.7"/>
    <n v="20"/>
    <n v="19.18"/>
    <n v="293.18"/>
    <n v="0"/>
  </r>
  <r>
    <n v="948"/>
    <x v="0"/>
    <s v="New York"/>
    <x v="1"/>
    <x v="0"/>
    <x v="4"/>
    <x v="4"/>
    <n v="15.49"/>
    <n v="16"/>
    <n v="17.350000000000001"/>
    <n v="265.19"/>
    <n v="0"/>
  </r>
  <r>
    <n v="949"/>
    <x v="1"/>
    <s v="Los Angeles"/>
    <x v="0"/>
    <x v="1"/>
    <x v="0"/>
    <x v="0"/>
    <n v="19.420000000000002"/>
    <n v="2"/>
    <n v="2.72"/>
    <n v="41.56"/>
    <n v="4"/>
  </r>
  <r>
    <n v="950"/>
    <x v="2"/>
    <s v="Chicago"/>
    <x v="1"/>
    <x v="0"/>
    <x v="0"/>
    <x v="0"/>
    <n v="10.56"/>
    <n v="18"/>
    <n v="13.31"/>
    <n v="203.39"/>
    <n v="0"/>
  </r>
  <r>
    <n v="951"/>
    <x v="2"/>
    <s v="Chicago"/>
    <x v="0"/>
    <x v="0"/>
    <x v="0"/>
    <x v="0"/>
    <n v="20.11"/>
    <n v="14"/>
    <n v="19.71"/>
    <n v="301.25"/>
    <n v="30"/>
  </r>
  <r>
    <n v="952"/>
    <x v="2"/>
    <s v="Chicago"/>
    <x v="1"/>
    <x v="0"/>
    <x v="4"/>
    <x v="4"/>
    <n v="19.88"/>
    <n v="1"/>
    <n v="1.39"/>
    <n v="21.27"/>
    <n v="0"/>
  </r>
  <r>
    <n v="953"/>
    <x v="2"/>
    <s v="Chicago"/>
    <x v="1"/>
    <x v="0"/>
    <x v="1"/>
    <x v="1"/>
    <n v="4.72"/>
    <n v="20"/>
    <n v="6.61"/>
    <n v="101.01"/>
    <n v="0"/>
  </r>
  <r>
    <n v="954"/>
    <x v="2"/>
    <s v="Chicago"/>
    <x v="0"/>
    <x v="0"/>
    <x v="2"/>
    <x v="2"/>
    <n v="13.18"/>
    <n v="13"/>
    <n v="11.99"/>
    <n v="183.33"/>
    <n v="18"/>
  </r>
  <r>
    <n v="955"/>
    <x v="2"/>
    <s v="Chicago"/>
    <x v="0"/>
    <x v="0"/>
    <x v="4"/>
    <x v="4"/>
    <n v="20.81"/>
    <n v="17"/>
    <n v="24.76"/>
    <n v="378.53"/>
    <n v="37"/>
  </r>
  <r>
    <n v="956"/>
    <x v="2"/>
    <s v="Chicago"/>
    <x v="0"/>
    <x v="1"/>
    <x v="4"/>
    <x v="4"/>
    <n v="17.18"/>
    <n v="19"/>
    <n v="22.85"/>
    <n v="349.27"/>
    <n v="34"/>
  </r>
  <r>
    <n v="957"/>
    <x v="2"/>
    <s v="Chicago"/>
    <x v="0"/>
    <x v="0"/>
    <x v="0"/>
    <x v="0"/>
    <n v="20.12"/>
    <n v="14"/>
    <n v="19.72"/>
    <n v="301.39999999999998"/>
    <n v="30"/>
  </r>
  <r>
    <n v="958"/>
    <x v="0"/>
    <s v="New York"/>
    <x v="0"/>
    <x v="1"/>
    <x v="1"/>
    <x v="1"/>
    <n v="20.28"/>
    <n v="20"/>
    <n v="28.39"/>
    <n v="433.99"/>
    <n v="43"/>
  </r>
  <r>
    <n v="959"/>
    <x v="2"/>
    <s v="Chicago"/>
    <x v="1"/>
    <x v="0"/>
    <x v="3"/>
    <x v="3"/>
    <n v="1.91"/>
    <n v="5"/>
    <n v="0.67"/>
    <n v="10.220000000000001"/>
    <n v="0"/>
  </r>
  <r>
    <n v="960"/>
    <x v="2"/>
    <s v="Chicago"/>
    <x v="0"/>
    <x v="1"/>
    <x v="2"/>
    <x v="2"/>
    <n v="8.7799999999999994"/>
    <n v="8"/>
    <n v="4.92"/>
    <n v="75.16"/>
    <n v="7"/>
  </r>
  <r>
    <n v="961"/>
    <x v="2"/>
    <s v="Chicago"/>
    <x v="0"/>
    <x v="0"/>
    <x v="1"/>
    <x v="1"/>
    <n v="10.37"/>
    <n v="9"/>
    <n v="6.53"/>
    <n v="99.86"/>
    <n v="9"/>
  </r>
  <r>
    <n v="962"/>
    <x v="2"/>
    <s v="Chicago"/>
    <x v="1"/>
    <x v="0"/>
    <x v="2"/>
    <x v="2"/>
    <n v="12.94"/>
    <n v="3"/>
    <n v="2.72"/>
    <n v="41.54"/>
    <n v="0"/>
  </r>
  <r>
    <n v="963"/>
    <x v="1"/>
    <s v="Los Angeles"/>
    <x v="1"/>
    <x v="0"/>
    <x v="2"/>
    <x v="2"/>
    <n v="17.010000000000002"/>
    <n v="15"/>
    <n v="17.86"/>
    <n v="273.01"/>
    <n v="0"/>
  </r>
  <r>
    <n v="964"/>
    <x v="0"/>
    <s v="New York"/>
    <x v="1"/>
    <x v="1"/>
    <x v="3"/>
    <x v="3"/>
    <n v="16.149999999999999"/>
    <n v="7"/>
    <n v="7.91"/>
    <n v="120.96"/>
    <n v="0"/>
  </r>
  <r>
    <n v="965"/>
    <x v="1"/>
    <s v="Los Angeles"/>
    <x v="1"/>
    <x v="1"/>
    <x v="3"/>
    <x v="3"/>
    <n v="9.14"/>
    <n v="12"/>
    <n v="7.68"/>
    <n v="117.36"/>
    <n v="0"/>
  </r>
  <r>
    <n v="966"/>
    <x v="2"/>
    <s v="Chicago"/>
    <x v="0"/>
    <x v="1"/>
    <x v="1"/>
    <x v="1"/>
    <n v="5.99"/>
    <n v="20"/>
    <n v="8.39"/>
    <n v="128.19"/>
    <n v="12"/>
  </r>
  <r>
    <n v="967"/>
    <x v="1"/>
    <s v="Los Angeles"/>
    <x v="0"/>
    <x v="0"/>
    <x v="1"/>
    <x v="1"/>
    <n v="3.31"/>
    <n v="20"/>
    <n v="4.63"/>
    <n v="70.83"/>
    <n v="7"/>
  </r>
  <r>
    <n v="968"/>
    <x v="0"/>
    <s v="New York"/>
    <x v="1"/>
    <x v="0"/>
    <x v="3"/>
    <x v="3"/>
    <n v="14.02"/>
    <n v="2"/>
    <n v="1.96"/>
    <n v="30"/>
    <n v="0"/>
  </r>
  <r>
    <n v="969"/>
    <x v="0"/>
    <s v="New York"/>
    <x v="1"/>
    <x v="0"/>
    <x v="2"/>
    <x v="2"/>
    <n v="7.63"/>
    <n v="11"/>
    <n v="5.88"/>
    <n v="89.81"/>
    <n v="0"/>
  </r>
  <r>
    <n v="970"/>
    <x v="0"/>
    <s v="New York"/>
    <x v="1"/>
    <x v="0"/>
    <x v="1"/>
    <x v="1"/>
    <n v="18.7"/>
    <n v="6"/>
    <n v="7.85"/>
    <n v="120.05"/>
    <n v="0"/>
  </r>
  <r>
    <n v="971"/>
    <x v="2"/>
    <s v="Chicago"/>
    <x v="1"/>
    <x v="0"/>
    <x v="0"/>
    <x v="0"/>
    <n v="7.12"/>
    <n v="19"/>
    <n v="9.4700000000000006"/>
    <n v="144.75"/>
    <n v="0"/>
  </r>
  <r>
    <n v="972"/>
    <x v="0"/>
    <s v="New York"/>
    <x v="1"/>
    <x v="1"/>
    <x v="0"/>
    <x v="0"/>
    <n v="13.28"/>
    <n v="2"/>
    <n v="1.86"/>
    <n v="28.42"/>
    <n v="0"/>
  </r>
  <r>
    <n v="973"/>
    <x v="0"/>
    <s v="New York"/>
    <x v="0"/>
    <x v="1"/>
    <x v="3"/>
    <x v="3"/>
    <n v="6.22"/>
    <n v="10"/>
    <n v="4.3499999999999996"/>
    <n v="66.55"/>
    <n v="6"/>
  </r>
  <r>
    <n v="974"/>
    <x v="0"/>
    <s v="New York"/>
    <x v="1"/>
    <x v="1"/>
    <x v="1"/>
    <x v="1"/>
    <n v="6.41"/>
    <n v="8"/>
    <n v="3.59"/>
    <n v="54.87"/>
    <n v="0"/>
  </r>
  <r>
    <n v="975"/>
    <x v="0"/>
    <s v="New York"/>
    <x v="0"/>
    <x v="0"/>
    <x v="3"/>
    <x v="3"/>
    <n v="10.01"/>
    <n v="2"/>
    <n v="1.4"/>
    <n v="21.42"/>
    <n v="2"/>
  </r>
  <r>
    <n v="976"/>
    <x v="0"/>
    <s v="New York"/>
    <x v="0"/>
    <x v="0"/>
    <x v="0"/>
    <x v="0"/>
    <n v="7.51"/>
    <n v="11"/>
    <n v="5.78"/>
    <n v="88.39"/>
    <n v="8"/>
  </r>
  <r>
    <n v="977"/>
    <x v="2"/>
    <s v="Chicago"/>
    <x v="0"/>
    <x v="1"/>
    <x v="2"/>
    <x v="2"/>
    <n v="15.18"/>
    <n v="7"/>
    <n v="7.44"/>
    <n v="113.7"/>
    <n v="11"/>
  </r>
  <r>
    <n v="978"/>
    <x v="1"/>
    <s v="Los Angeles"/>
    <x v="0"/>
    <x v="0"/>
    <x v="1"/>
    <x v="1"/>
    <n v="2.04"/>
    <n v="10"/>
    <n v="1.43"/>
    <n v="21.83"/>
    <n v="2"/>
  </r>
  <r>
    <n v="979"/>
    <x v="2"/>
    <s v="Chicago"/>
    <x v="0"/>
    <x v="1"/>
    <x v="4"/>
    <x v="4"/>
    <n v="18.34"/>
    <n v="13"/>
    <n v="16.690000000000001"/>
    <n v="255.11"/>
    <n v="25"/>
  </r>
  <r>
    <n v="980"/>
    <x v="1"/>
    <s v="Los Angeles"/>
    <x v="1"/>
    <x v="0"/>
    <x v="4"/>
    <x v="4"/>
    <n v="1.0900000000000001"/>
    <n v="8"/>
    <n v="0.61"/>
    <n v="9.33"/>
    <n v="0"/>
  </r>
  <r>
    <n v="981"/>
    <x v="0"/>
    <s v="New York"/>
    <x v="0"/>
    <x v="0"/>
    <x v="0"/>
    <x v="0"/>
    <n v="17.559999999999999"/>
    <n v="16"/>
    <n v="19.670000000000002"/>
    <n v="300.63"/>
    <n v="30"/>
  </r>
  <r>
    <n v="982"/>
    <x v="2"/>
    <s v="Chicago"/>
    <x v="0"/>
    <x v="0"/>
    <x v="2"/>
    <x v="2"/>
    <n v="1.23"/>
    <n v="1"/>
    <n v="0.09"/>
    <n v="1.32"/>
    <n v="0"/>
  </r>
  <r>
    <n v="983"/>
    <x v="2"/>
    <s v="Chicago"/>
    <x v="1"/>
    <x v="1"/>
    <x v="2"/>
    <x v="2"/>
    <n v="8.02"/>
    <n v="9"/>
    <n v="5.05"/>
    <n v="77.23"/>
    <n v="0"/>
  </r>
  <r>
    <n v="984"/>
    <x v="1"/>
    <s v="Los Angeles"/>
    <x v="0"/>
    <x v="1"/>
    <x v="4"/>
    <x v="4"/>
    <n v="11.14"/>
    <n v="2"/>
    <n v="1.56"/>
    <n v="23.84"/>
    <n v="2"/>
  </r>
  <r>
    <n v="985"/>
    <x v="2"/>
    <s v="Chicago"/>
    <x v="0"/>
    <x v="0"/>
    <x v="0"/>
    <x v="0"/>
    <n v="20.96"/>
    <n v="2"/>
    <n v="2.93"/>
    <n v="44.85"/>
    <n v="4"/>
  </r>
  <r>
    <n v="986"/>
    <x v="0"/>
    <s v="New York"/>
    <x v="0"/>
    <x v="0"/>
    <x v="4"/>
    <x v="4"/>
    <n v="6.85"/>
    <n v="19"/>
    <n v="9.11"/>
    <n v="139.26"/>
    <n v="13"/>
  </r>
  <r>
    <n v="987"/>
    <x v="0"/>
    <s v="New York"/>
    <x v="1"/>
    <x v="0"/>
    <x v="2"/>
    <x v="2"/>
    <n v="2.31"/>
    <n v="19"/>
    <n v="3.07"/>
    <n v="46.96"/>
    <n v="0"/>
  </r>
  <r>
    <n v="988"/>
    <x v="0"/>
    <s v="New York"/>
    <x v="0"/>
    <x v="1"/>
    <x v="2"/>
    <x v="2"/>
    <n v="11.35"/>
    <n v="9"/>
    <n v="7.15"/>
    <n v="109.3"/>
    <n v="10"/>
  </r>
  <r>
    <n v="989"/>
    <x v="1"/>
    <s v="Los Angeles"/>
    <x v="0"/>
    <x v="1"/>
    <x v="0"/>
    <x v="0"/>
    <n v="10.49"/>
    <n v="9"/>
    <n v="6.61"/>
    <n v="101.02"/>
    <n v="10"/>
  </r>
  <r>
    <n v="990"/>
    <x v="2"/>
    <s v="Chicago"/>
    <x v="0"/>
    <x v="1"/>
    <x v="1"/>
    <x v="1"/>
    <n v="5.67"/>
    <n v="10"/>
    <n v="3.97"/>
    <n v="60.67"/>
    <n v="6"/>
  </r>
  <r>
    <n v="991"/>
    <x v="2"/>
    <s v="Chicago"/>
    <x v="1"/>
    <x v="1"/>
    <x v="3"/>
    <x v="3"/>
    <n v="8.18"/>
    <n v="1"/>
    <n v="0.56999999999999995"/>
    <n v="8.75"/>
    <n v="0"/>
  </r>
  <r>
    <n v="992"/>
    <x v="0"/>
    <s v="New York"/>
    <x v="1"/>
    <x v="0"/>
    <x v="1"/>
    <x v="1"/>
    <n v="11.33"/>
    <n v="9"/>
    <n v="7.14"/>
    <n v="109.11"/>
    <n v="0"/>
  </r>
  <r>
    <n v="993"/>
    <x v="0"/>
    <s v="New York"/>
    <x v="1"/>
    <x v="1"/>
    <x v="2"/>
    <x v="2"/>
    <n v="4.59"/>
    <n v="19"/>
    <n v="6.1"/>
    <n v="93.31"/>
    <n v="0"/>
  </r>
  <r>
    <n v="994"/>
    <x v="0"/>
    <s v="New York"/>
    <x v="1"/>
    <x v="1"/>
    <x v="4"/>
    <x v="4"/>
    <n v="5.16"/>
    <n v="13"/>
    <n v="4.7"/>
    <n v="71.78"/>
    <n v="0"/>
  </r>
  <r>
    <n v="995"/>
    <x v="0"/>
    <s v="New York"/>
    <x v="0"/>
    <x v="0"/>
    <x v="1"/>
    <x v="1"/>
    <n v="6.6"/>
    <n v="5"/>
    <n v="2.31"/>
    <n v="35.31"/>
    <n v="3"/>
  </r>
  <r>
    <n v="996"/>
    <x v="0"/>
    <s v="New York"/>
    <x v="0"/>
    <x v="1"/>
    <x v="0"/>
    <x v="0"/>
    <n v="1.55"/>
    <n v="11"/>
    <n v="1.19"/>
    <n v="18.239999999999998"/>
    <n v="1"/>
  </r>
  <r>
    <n v="997"/>
    <x v="0"/>
    <s v="New York"/>
    <x v="0"/>
    <x v="0"/>
    <x v="3"/>
    <x v="3"/>
    <n v="2.44"/>
    <n v="7"/>
    <n v="1.2"/>
    <n v="18.28"/>
    <n v="1"/>
  </r>
  <r>
    <n v="998"/>
    <x v="0"/>
    <s v="New York"/>
    <x v="0"/>
    <x v="1"/>
    <x v="0"/>
    <x v="0"/>
    <n v="17.920000000000002"/>
    <n v="2"/>
    <n v="2.5099999999999998"/>
    <n v="38.35"/>
    <n v="3"/>
  </r>
  <r>
    <n v="999"/>
    <x v="0"/>
    <s v="New York"/>
    <x v="0"/>
    <x v="1"/>
    <x v="0"/>
    <x v="0"/>
    <n v="17.41"/>
    <n v="4"/>
    <n v="4.87"/>
    <n v="74.510000000000005"/>
    <n v="7"/>
  </r>
  <r>
    <n v="1000"/>
    <x v="0"/>
    <s v="New York"/>
    <x v="1"/>
    <x v="0"/>
    <x v="4"/>
    <x v="4"/>
    <n v="4.1100000000000003"/>
    <n v="4"/>
    <n v="1.1499999999999999"/>
    <n v="17.59"/>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
    <s v="New York"/>
    <s v="Member"/>
    <s v="Male"/>
    <s v="Shampoo"/>
    <s v="Personal Care"/>
    <n v="5.5"/>
    <n v="3"/>
    <n v="1.1599999999999999"/>
    <n v="17.66"/>
    <n v="1"/>
    <x v="0"/>
  </r>
  <r>
    <n v="2"/>
    <s v="B"/>
    <s v="Los Angeles"/>
    <s v="Normal"/>
    <s v="Female"/>
    <s v="Notebook"/>
    <s v="Stationery"/>
    <n v="2.75"/>
    <n v="10"/>
    <n v="1.93"/>
    <n v="29.43"/>
    <n v="0"/>
    <x v="0"/>
  </r>
  <r>
    <n v="3"/>
    <s v="C"/>
    <s v="New York"/>
    <s v="Member"/>
    <s v="Female"/>
    <s v="Apple"/>
    <s v="Fruits"/>
    <n v="1.2"/>
    <n v="15"/>
    <n v="1.26"/>
    <n v="19.260000000000002"/>
    <n v="1"/>
    <x v="0"/>
  </r>
  <r>
    <n v="4"/>
    <s v="A"/>
    <s v="Chicago"/>
    <s v="Normal"/>
    <s v="Male"/>
    <s v="Detergent"/>
    <s v="Household"/>
    <n v="7.8"/>
    <n v="5"/>
    <n v="2.73"/>
    <n v="41.73"/>
    <n v="0"/>
    <x v="0"/>
  </r>
  <r>
    <n v="5"/>
    <s v="B"/>
    <s v="Los Angeles"/>
    <s v="Member"/>
    <s v="Female"/>
    <s v="Orange Juice"/>
    <s v="Beverages"/>
    <n v="3.5"/>
    <n v="7"/>
    <n v="1.72"/>
    <n v="26.22"/>
    <n v="2"/>
    <x v="0"/>
  </r>
  <r>
    <n v="6"/>
    <s v="A"/>
    <s v="Chicago"/>
    <s v="Normal"/>
    <s v="Male"/>
    <s v="Shampoo"/>
    <s v="Personal Care"/>
    <n v="11.24"/>
    <n v="9"/>
    <n v="7.08"/>
    <n v="108.24"/>
    <n v="0"/>
    <x v="0"/>
  </r>
  <r>
    <n v="7"/>
    <s v="A"/>
    <s v="Chicago"/>
    <s v="Normal"/>
    <s v="Male"/>
    <s v="Shampoo"/>
    <s v="Personal Care"/>
    <n v="10.71"/>
    <n v="1"/>
    <n v="0.75"/>
    <n v="11.46"/>
    <n v="0"/>
    <x v="0"/>
  </r>
  <r>
    <n v="8"/>
    <s v="B"/>
    <s v="Los Angeles"/>
    <s v="Normal"/>
    <s v="Female"/>
    <s v="Shampoo"/>
    <s v="Personal Care"/>
    <n v="18.23"/>
    <n v="9"/>
    <n v="11.48"/>
    <n v="175.55"/>
    <n v="0"/>
    <x v="0"/>
  </r>
  <r>
    <n v="9"/>
    <s v="A"/>
    <s v="Chicago"/>
    <s v="Member"/>
    <s v="Female"/>
    <s v="Apple"/>
    <s v="Fruits"/>
    <n v="14.15"/>
    <n v="20"/>
    <n v="19.809999999999999"/>
    <n v="302.81"/>
    <n v="30"/>
    <x v="0"/>
  </r>
  <r>
    <n v="10"/>
    <s v="B"/>
    <s v="Los Angeles"/>
    <s v="Member"/>
    <s v="Male"/>
    <s v="Shampoo"/>
    <s v="Personal Care"/>
    <n v="18.420000000000002"/>
    <n v="19"/>
    <n v="24.5"/>
    <n v="374.48"/>
    <n v="37"/>
    <x v="0"/>
  </r>
  <r>
    <n v="11"/>
    <s v="A"/>
    <s v="Chicago"/>
    <s v="Normal"/>
    <s v="Male"/>
    <s v="Detergent"/>
    <s v="Household"/>
    <n v="9.32"/>
    <n v="7"/>
    <n v="4.57"/>
    <n v="69.81"/>
    <n v="0"/>
    <x v="0"/>
  </r>
  <r>
    <n v="12"/>
    <s v="B"/>
    <s v="Los Angeles"/>
    <s v="Member"/>
    <s v="Male"/>
    <s v="Orange Juice"/>
    <s v="Beverages"/>
    <n v="6.89"/>
    <n v="12"/>
    <n v="5.79"/>
    <n v="88.47"/>
    <n v="8"/>
    <x v="0"/>
  </r>
  <r>
    <n v="13"/>
    <s v="C"/>
    <s v="New York"/>
    <s v="Normal"/>
    <s v="Female"/>
    <s v="Orange Juice"/>
    <s v="Beverages"/>
    <n v="3.29"/>
    <n v="4"/>
    <n v="0.92"/>
    <n v="14.08"/>
    <n v="0"/>
    <x v="0"/>
  </r>
  <r>
    <n v="14"/>
    <s v="B"/>
    <s v="Los Angeles"/>
    <s v="Member"/>
    <s v="Female"/>
    <s v="Apple"/>
    <s v="Fruits"/>
    <n v="8.81"/>
    <n v="5"/>
    <n v="3.08"/>
    <n v="47.13"/>
    <n v="4"/>
    <x v="0"/>
  </r>
  <r>
    <n v="15"/>
    <s v="B"/>
    <s v="Los Angeles"/>
    <s v="Normal"/>
    <s v="Female"/>
    <s v="Apple"/>
    <s v="Fruits"/>
    <n v="19.48"/>
    <n v="3"/>
    <n v="4.09"/>
    <n v="62.53"/>
    <n v="0"/>
    <x v="0"/>
  </r>
  <r>
    <n v="16"/>
    <s v="B"/>
    <s v="Los Angeles"/>
    <s v="Normal"/>
    <s v="Male"/>
    <s v="Notebook"/>
    <s v="Stationery"/>
    <n v="5.55"/>
    <n v="8"/>
    <n v="3.11"/>
    <n v="47.51"/>
    <n v="0"/>
    <x v="0"/>
  </r>
  <r>
    <n v="17"/>
    <s v="B"/>
    <s v="Los Angeles"/>
    <s v="Member"/>
    <s v="Female"/>
    <s v="Apple"/>
    <s v="Fruits"/>
    <n v="2.13"/>
    <n v="2"/>
    <n v="0.3"/>
    <n v="4.5599999999999996"/>
    <n v="0"/>
    <x v="0"/>
  </r>
  <r>
    <n v="18"/>
    <s v="B"/>
    <s v="Los Angeles"/>
    <s v="Normal"/>
    <s v="Male"/>
    <s v="Notebook"/>
    <s v="Stationery"/>
    <n v="13.26"/>
    <n v="15"/>
    <n v="13.92"/>
    <n v="212.82"/>
    <n v="0"/>
    <x v="0"/>
  </r>
  <r>
    <n v="19"/>
    <s v="C"/>
    <s v="New York"/>
    <s v="Member"/>
    <s v="Male"/>
    <s v="Apple"/>
    <s v="Fruits"/>
    <n v="19.59"/>
    <n v="2"/>
    <n v="2.74"/>
    <n v="41.92"/>
    <n v="4"/>
    <x v="0"/>
  </r>
  <r>
    <n v="20"/>
    <s v="A"/>
    <s v="Chicago"/>
    <s v="Normal"/>
    <s v="Male"/>
    <s v="Detergent"/>
    <s v="Household"/>
    <n v="6.98"/>
    <n v="8"/>
    <n v="3.91"/>
    <n v="59.75"/>
    <n v="0"/>
    <x v="0"/>
  </r>
  <r>
    <n v="21"/>
    <s v="B"/>
    <s v="Los Angeles"/>
    <s v="Normal"/>
    <s v="Female"/>
    <s v="Shampoo"/>
    <s v="Personal Care"/>
    <n v="4.3600000000000003"/>
    <n v="11"/>
    <n v="3.36"/>
    <n v="51.32"/>
    <n v="0"/>
    <x v="0"/>
  </r>
  <r>
    <n v="22"/>
    <s v="B"/>
    <s v="Los Angeles"/>
    <s v="Normal"/>
    <s v="Male"/>
    <s v="Orange Juice"/>
    <s v="Beverages"/>
    <n v="6.8"/>
    <n v="1"/>
    <n v="0.48"/>
    <n v="7.28"/>
    <n v="0"/>
    <x v="0"/>
  </r>
  <r>
    <n v="23"/>
    <s v="C"/>
    <s v="New York"/>
    <s v="Member"/>
    <s v="Female"/>
    <s v="Shampoo"/>
    <s v="Personal Care"/>
    <n v="1.95"/>
    <n v="16"/>
    <n v="2.1800000000000002"/>
    <n v="33.380000000000003"/>
    <n v="3"/>
    <x v="0"/>
  </r>
  <r>
    <n v="24"/>
    <s v="A"/>
    <s v="Chicago"/>
    <s v="Normal"/>
    <s v="Male"/>
    <s v="Apple"/>
    <s v="Fruits"/>
    <n v="19.05"/>
    <n v="2"/>
    <n v="2.67"/>
    <n v="40.770000000000003"/>
    <n v="0"/>
    <x v="0"/>
  </r>
  <r>
    <n v="25"/>
    <s v="B"/>
    <s v="Los Angeles"/>
    <s v="Member"/>
    <s v="Male"/>
    <s v="Detergent"/>
    <s v="Household"/>
    <n v="11.33"/>
    <n v="18"/>
    <n v="14.28"/>
    <n v="218.22"/>
    <n v="21"/>
    <x v="0"/>
  </r>
  <r>
    <n v="26"/>
    <s v="B"/>
    <s v="Los Angeles"/>
    <s v="Normal"/>
    <s v="Male"/>
    <s v="Notebook"/>
    <s v="Stationery"/>
    <n v="13.94"/>
    <n v="16"/>
    <n v="15.61"/>
    <n v="238.65"/>
    <n v="0"/>
    <x v="0"/>
  </r>
  <r>
    <n v="27"/>
    <s v="C"/>
    <s v="New York"/>
    <s v="Member"/>
    <s v="Male"/>
    <s v="Detergent"/>
    <s v="Household"/>
    <n v="9.5500000000000007"/>
    <n v="2"/>
    <n v="1.34"/>
    <n v="20.440000000000001"/>
    <n v="2"/>
    <x v="0"/>
  </r>
  <r>
    <n v="28"/>
    <s v="C"/>
    <s v="New York"/>
    <s v="Member"/>
    <s v="Female"/>
    <s v="Detergent"/>
    <s v="Household"/>
    <n v="16.46"/>
    <n v="17"/>
    <n v="19.59"/>
    <n v="299.41000000000003"/>
    <n v="29"/>
    <x v="0"/>
  </r>
  <r>
    <n v="29"/>
    <s v="B"/>
    <s v="Los Angeles"/>
    <s v="Member"/>
    <s v="Female"/>
    <s v="Shampoo"/>
    <s v="Personal Care"/>
    <n v="12.3"/>
    <n v="17"/>
    <n v="14.64"/>
    <n v="223.74"/>
    <n v="22"/>
    <x v="0"/>
  </r>
  <r>
    <n v="30"/>
    <s v="A"/>
    <s v="Chicago"/>
    <s v="Member"/>
    <s v="Male"/>
    <s v="Orange Juice"/>
    <s v="Beverages"/>
    <n v="12.37"/>
    <n v="15"/>
    <n v="12.99"/>
    <n v="198.54"/>
    <n v="19"/>
    <x v="0"/>
  </r>
  <r>
    <n v="31"/>
    <s v="A"/>
    <s v="Chicago"/>
    <s v="Member"/>
    <s v="Male"/>
    <s v="Shampoo"/>
    <s v="Personal Care"/>
    <n v="3.7"/>
    <n v="3"/>
    <n v="0.78"/>
    <n v="11.88"/>
    <n v="1"/>
    <x v="0"/>
  </r>
  <r>
    <n v="32"/>
    <s v="C"/>
    <s v="New York"/>
    <s v="Member"/>
    <s v="Female"/>
    <s v="Orange Juice"/>
    <s v="Beverages"/>
    <n v="5.39"/>
    <n v="3"/>
    <n v="1.1299999999999999"/>
    <n v="17.3"/>
    <n v="1"/>
    <x v="0"/>
  </r>
  <r>
    <n v="33"/>
    <s v="B"/>
    <s v="Los Angeles"/>
    <s v="Normal"/>
    <s v="Male"/>
    <s v="Notebook"/>
    <s v="Stationery"/>
    <n v="6.94"/>
    <n v="17"/>
    <n v="8.26"/>
    <n v="126.24"/>
    <n v="0"/>
    <x v="0"/>
  </r>
  <r>
    <n v="34"/>
    <s v="B"/>
    <s v="Los Angeles"/>
    <s v="Normal"/>
    <s v="Male"/>
    <s v="Orange Juice"/>
    <s v="Beverages"/>
    <n v="8.1300000000000008"/>
    <n v="9"/>
    <n v="5.12"/>
    <n v="78.290000000000006"/>
    <n v="0"/>
    <x v="0"/>
  </r>
  <r>
    <n v="35"/>
    <s v="C"/>
    <s v="New York"/>
    <s v="Member"/>
    <s v="Male"/>
    <s v="Apple"/>
    <s v="Fruits"/>
    <n v="13.42"/>
    <n v="2"/>
    <n v="1.88"/>
    <n v="28.72"/>
    <n v="2"/>
    <x v="0"/>
  </r>
  <r>
    <n v="36"/>
    <s v="C"/>
    <s v="New York"/>
    <s v="Member"/>
    <s v="Male"/>
    <s v="Detergent"/>
    <s v="Household"/>
    <n v="13.14"/>
    <n v="15"/>
    <n v="13.8"/>
    <n v="210.9"/>
    <n v="21"/>
    <x v="0"/>
  </r>
  <r>
    <n v="37"/>
    <s v="B"/>
    <s v="Los Angeles"/>
    <s v="Member"/>
    <s v="Male"/>
    <s v="Shampoo"/>
    <s v="Personal Care"/>
    <n v="11.14"/>
    <n v="16"/>
    <n v="12.48"/>
    <n v="190.72"/>
    <n v="19"/>
    <x v="0"/>
  </r>
  <r>
    <n v="38"/>
    <s v="B"/>
    <s v="Los Angeles"/>
    <s v="Member"/>
    <s v="Female"/>
    <s v="Notebook"/>
    <s v="Stationery"/>
    <n v="5.42"/>
    <n v="14"/>
    <n v="5.31"/>
    <n v="81.19"/>
    <n v="8"/>
    <x v="0"/>
  </r>
  <r>
    <n v="39"/>
    <s v="C"/>
    <s v="New York"/>
    <s v="Member"/>
    <s v="Female"/>
    <s v="Notebook"/>
    <s v="Stationery"/>
    <n v="15.34"/>
    <n v="15"/>
    <n v="16.11"/>
    <n v="246.21"/>
    <n v="24"/>
    <x v="0"/>
  </r>
  <r>
    <n v="40"/>
    <s v="C"/>
    <s v="New York"/>
    <s v="Normal"/>
    <s v="Female"/>
    <s v="Apple"/>
    <s v="Fruits"/>
    <n v="1.17"/>
    <n v="11"/>
    <n v="0.9"/>
    <n v="13.77"/>
    <n v="0"/>
    <x v="0"/>
  </r>
  <r>
    <n v="41"/>
    <s v="C"/>
    <s v="New York"/>
    <s v="Member"/>
    <s v="Female"/>
    <s v="Notebook"/>
    <s v="Stationery"/>
    <n v="10.8"/>
    <n v="10"/>
    <n v="7.56"/>
    <n v="115.56"/>
    <n v="11"/>
    <x v="0"/>
  </r>
  <r>
    <n v="42"/>
    <s v="C"/>
    <s v="New York"/>
    <s v="Normal"/>
    <s v="Male"/>
    <s v="Apple"/>
    <s v="Fruits"/>
    <n v="10.98"/>
    <n v="12"/>
    <n v="9.2200000000000006"/>
    <n v="140.97999999999999"/>
    <n v="0"/>
    <x v="0"/>
  </r>
  <r>
    <n v="43"/>
    <s v="C"/>
    <s v="New York"/>
    <s v="Normal"/>
    <s v="Female"/>
    <s v="Notebook"/>
    <s v="Stationery"/>
    <n v="4.17"/>
    <n v="2"/>
    <n v="0.57999999999999996"/>
    <n v="8.92"/>
    <n v="0"/>
    <x v="0"/>
  </r>
  <r>
    <n v="44"/>
    <s v="A"/>
    <s v="Chicago"/>
    <s v="Member"/>
    <s v="Male"/>
    <s v="Detergent"/>
    <s v="Household"/>
    <n v="20.13"/>
    <n v="2"/>
    <n v="2.82"/>
    <n v="43.08"/>
    <n v="4"/>
    <x v="0"/>
  </r>
  <r>
    <n v="45"/>
    <s v="B"/>
    <s v="Los Angeles"/>
    <s v="Member"/>
    <s v="Female"/>
    <s v="Shampoo"/>
    <s v="Personal Care"/>
    <n v="15.73"/>
    <n v="8"/>
    <n v="8.81"/>
    <n v="134.65"/>
    <n v="13"/>
    <x v="0"/>
  </r>
  <r>
    <n v="46"/>
    <s v="C"/>
    <s v="New York"/>
    <s v="Member"/>
    <s v="Male"/>
    <s v="Shampoo"/>
    <s v="Personal Care"/>
    <n v="15.95"/>
    <n v="8"/>
    <n v="8.93"/>
    <n v="136.53"/>
    <n v="13"/>
    <x v="0"/>
  </r>
  <r>
    <n v="47"/>
    <s v="C"/>
    <s v="New York"/>
    <s v="Normal"/>
    <s v="Male"/>
    <s v="Shampoo"/>
    <s v="Personal Care"/>
    <n v="1.28"/>
    <n v="8"/>
    <n v="0.72"/>
    <n v="10.96"/>
    <n v="0"/>
    <x v="0"/>
  </r>
  <r>
    <n v="48"/>
    <s v="B"/>
    <s v="Los Angeles"/>
    <s v="Normal"/>
    <s v="Female"/>
    <s v="Detergent"/>
    <s v="Household"/>
    <n v="9.98"/>
    <n v="20"/>
    <n v="13.97"/>
    <n v="213.57"/>
    <n v="0"/>
    <x v="0"/>
  </r>
  <r>
    <n v="49"/>
    <s v="B"/>
    <s v="Los Angeles"/>
    <s v="Normal"/>
    <s v="Female"/>
    <s v="Detergent"/>
    <s v="Household"/>
    <n v="6.31"/>
    <n v="2"/>
    <n v="0.88"/>
    <n v="13.5"/>
    <n v="0"/>
    <x v="0"/>
  </r>
  <r>
    <n v="50"/>
    <s v="A"/>
    <s v="Chicago"/>
    <s v="Normal"/>
    <s v="Female"/>
    <s v="Apple"/>
    <s v="Fruits"/>
    <n v="16.5"/>
    <n v="19"/>
    <n v="21.95"/>
    <n v="335.45"/>
    <n v="0"/>
    <x v="0"/>
  </r>
  <r>
    <n v="51"/>
    <s v="A"/>
    <s v="Chicago"/>
    <s v="Normal"/>
    <s v="Male"/>
    <s v="Detergent"/>
    <s v="Household"/>
    <n v="17.02"/>
    <n v="19"/>
    <n v="22.64"/>
    <n v="346.02"/>
    <n v="0"/>
    <x v="0"/>
  </r>
  <r>
    <n v="52"/>
    <s v="A"/>
    <s v="Chicago"/>
    <s v="Member"/>
    <s v="Male"/>
    <s v="Orange Juice"/>
    <s v="Beverages"/>
    <n v="11.16"/>
    <n v="5"/>
    <n v="3.91"/>
    <n v="59.71"/>
    <n v="5"/>
    <x v="0"/>
  </r>
  <r>
    <n v="53"/>
    <s v="B"/>
    <s v="Los Angeles"/>
    <s v="Normal"/>
    <s v="Female"/>
    <s v="Orange Juice"/>
    <s v="Beverages"/>
    <n v="19.059999999999999"/>
    <n v="1"/>
    <n v="1.33"/>
    <n v="20.39"/>
    <n v="0"/>
    <x v="0"/>
  </r>
  <r>
    <n v="54"/>
    <s v="C"/>
    <s v="New York"/>
    <s v="Normal"/>
    <s v="Female"/>
    <s v="Orange Juice"/>
    <s v="Beverages"/>
    <n v="4.68"/>
    <n v="14"/>
    <n v="4.59"/>
    <n v="70.11"/>
    <n v="0"/>
    <x v="0"/>
  </r>
  <r>
    <n v="55"/>
    <s v="B"/>
    <s v="Los Angeles"/>
    <s v="Member"/>
    <s v="Male"/>
    <s v="Notebook"/>
    <s v="Stationery"/>
    <n v="15.57"/>
    <n v="13"/>
    <n v="14.17"/>
    <n v="216.58"/>
    <n v="21"/>
    <x v="0"/>
  </r>
  <r>
    <n v="56"/>
    <s v="A"/>
    <s v="Chicago"/>
    <s v="Member"/>
    <s v="Male"/>
    <s v="Shampoo"/>
    <s v="Personal Care"/>
    <n v="19.86"/>
    <n v="10"/>
    <n v="13.9"/>
    <n v="212.5"/>
    <n v="21"/>
    <x v="0"/>
  </r>
  <r>
    <n v="57"/>
    <s v="A"/>
    <s v="Chicago"/>
    <s v="Member"/>
    <s v="Female"/>
    <s v="Orange Juice"/>
    <s v="Beverages"/>
    <n v="20.41"/>
    <n v="19"/>
    <n v="27.15"/>
    <n v="414.94"/>
    <n v="41"/>
    <x v="1"/>
  </r>
  <r>
    <n v="58"/>
    <s v="A"/>
    <s v="Chicago"/>
    <s v="Normal"/>
    <s v="Male"/>
    <s v="Notebook"/>
    <s v="Stationery"/>
    <n v="19.96"/>
    <n v="20"/>
    <n v="27.94"/>
    <n v="427.14"/>
    <n v="0"/>
    <x v="1"/>
  </r>
  <r>
    <n v="59"/>
    <s v="A"/>
    <s v="Chicago"/>
    <s v="Member"/>
    <s v="Male"/>
    <s v="Detergent"/>
    <s v="Household"/>
    <n v="15.48"/>
    <n v="20"/>
    <n v="21.67"/>
    <n v="331.27"/>
    <n v="33"/>
    <x v="0"/>
  </r>
  <r>
    <n v="60"/>
    <s v="A"/>
    <s v="Chicago"/>
    <s v="Member"/>
    <s v="Male"/>
    <s v="Notebook"/>
    <s v="Stationery"/>
    <n v="13.99"/>
    <n v="4"/>
    <n v="3.92"/>
    <n v="59.88"/>
    <n v="5"/>
    <x v="0"/>
  </r>
  <r>
    <n v="61"/>
    <s v="C"/>
    <s v="New York"/>
    <s v="Member"/>
    <s v="Male"/>
    <s v="Detergent"/>
    <s v="Household"/>
    <n v="9.39"/>
    <n v="2"/>
    <n v="1.31"/>
    <n v="20.09"/>
    <n v="2"/>
    <x v="0"/>
  </r>
  <r>
    <n v="62"/>
    <s v="A"/>
    <s v="Chicago"/>
    <s v="Member"/>
    <s v="Male"/>
    <s v="Orange Juice"/>
    <s v="Beverages"/>
    <n v="19.190000000000001"/>
    <n v="14"/>
    <n v="18.809999999999999"/>
    <n v="287.47000000000003"/>
    <n v="28"/>
    <x v="0"/>
  </r>
  <r>
    <n v="63"/>
    <s v="C"/>
    <s v="New York"/>
    <s v="Member"/>
    <s v="Male"/>
    <s v="Notebook"/>
    <s v="Stationery"/>
    <n v="12.73"/>
    <n v="19"/>
    <n v="16.93"/>
    <n v="258.8"/>
    <n v="25"/>
    <x v="0"/>
  </r>
  <r>
    <n v="64"/>
    <s v="A"/>
    <s v="Chicago"/>
    <s v="Member"/>
    <s v="Female"/>
    <s v="Detergent"/>
    <s v="Household"/>
    <n v="11.33"/>
    <n v="10"/>
    <n v="7.93"/>
    <n v="121.23"/>
    <n v="12"/>
    <x v="0"/>
  </r>
  <r>
    <n v="65"/>
    <s v="C"/>
    <s v="New York"/>
    <s v="Normal"/>
    <s v="Male"/>
    <s v="Orange Juice"/>
    <s v="Beverages"/>
    <n v="8.7799999999999994"/>
    <n v="12"/>
    <n v="7.38"/>
    <n v="112.74"/>
    <n v="0"/>
    <x v="0"/>
  </r>
  <r>
    <n v="66"/>
    <s v="C"/>
    <s v="New York"/>
    <s v="Member"/>
    <s v="Male"/>
    <s v="Notebook"/>
    <s v="Stationery"/>
    <n v="10.25"/>
    <n v="2"/>
    <n v="1.44"/>
    <n v="21.94"/>
    <n v="2"/>
    <x v="0"/>
  </r>
  <r>
    <n v="67"/>
    <s v="B"/>
    <s v="Los Angeles"/>
    <s v="Member"/>
    <s v="Male"/>
    <s v="Notebook"/>
    <s v="Stationery"/>
    <n v="10.47"/>
    <n v="8"/>
    <n v="5.86"/>
    <n v="89.62"/>
    <n v="8"/>
    <x v="0"/>
  </r>
  <r>
    <n v="68"/>
    <s v="C"/>
    <s v="New York"/>
    <s v="Normal"/>
    <s v="Female"/>
    <s v="Detergent"/>
    <s v="Household"/>
    <n v="6.75"/>
    <n v="1"/>
    <n v="0.47"/>
    <n v="7.22"/>
    <n v="0"/>
    <x v="0"/>
  </r>
  <r>
    <n v="69"/>
    <s v="A"/>
    <s v="Chicago"/>
    <s v="Member"/>
    <s v="Male"/>
    <s v="Apple"/>
    <s v="Fruits"/>
    <n v="1.17"/>
    <n v="16"/>
    <n v="1.31"/>
    <n v="20.03"/>
    <n v="2"/>
    <x v="0"/>
  </r>
  <r>
    <n v="70"/>
    <s v="B"/>
    <s v="Los Angeles"/>
    <s v="Normal"/>
    <s v="Female"/>
    <s v="Shampoo"/>
    <s v="Personal Care"/>
    <n v="2.77"/>
    <n v="14"/>
    <n v="2.71"/>
    <n v="41.49"/>
    <n v="0"/>
    <x v="0"/>
  </r>
  <r>
    <n v="71"/>
    <s v="A"/>
    <s v="Chicago"/>
    <s v="Normal"/>
    <s v="Male"/>
    <s v="Orange Juice"/>
    <s v="Beverages"/>
    <n v="12.83"/>
    <n v="2"/>
    <n v="1.8"/>
    <n v="27.46"/>
    <n v="0"/>
    <x v="0"/>
  </r>
  <r>
    <n v="72"/>
    <s v="C"/>
    <s v="New York"/>
    <s v="Normal"/>
    <s v="Female"/>
    <s v="Apple"/>
    <s v="Fruits"/>
    <n v="14.21"/>
    <n v="11"/>
    <n v="10.94"/>
    <n v="167.25"/>
    <n v="0"/>
    <x v="0"/>
  </r>
  <r>
    <n v="73"/>
    <s v="A"/>
    <s v="Chicago"/>
    <s v="Normal"/>
    <s v="Male"/>
    <s v="Detergent"/>
    <s v="Household"/>
    <n v="7.27"/>
    <n v="20"/>
    <n v="10.18"/>
    <n v="155.58000000000001"/>
    <n v="0"/>
    <x v="0"/>
  </r>
  <r>
    <n v="74"/>
    <s v="C"/>
    <s v="New York"/>
    <s v="Normal"/>
    <s v="Female"/>
    <s v="Shampoo"/>
    <s v="Personal Care"/>
    <n v="20.27"/>
    <n v="2"/>
    <n v="2.84"/>
    <n v="43.38"/>
    <n v="0"/>
    <x v="0"/>
  </r>
  <r>
    <n v="75"/>
    <s v="C"/>
    <s v="New York"/>
    <s v="Normal"/>
    <s v="Male"/>
    <s v="Orange Juice"/>
    <s v="Beverages"/>
    <n v="8.6199999999999992"/>
    <n v="11"/>
    <n v="6.64"/>
    <n v="101.46"/>
    <n v="0"/>
    <x v="0"/>
  </r>
  <r>
    <n v="76"/>
    <s v="C"/>
    <s v="New York"/>
    <s v="Normal"/>
    <s v="Male"/>
    <s v="Shampoo"/>
    <s v="Personal Care"/>
    <n v="19.14"/>
    <n v="8"/>
    <n v="10.72"/>
    <n v="163.84"/>
    <n v="0"/>
    <x v="0"/>
  </r>
  <r>
    <n v="77"/>
    <s v="B"/>
    <s v="Los Angeles"/>
    <s v="Normal"/>
    <s v="Female"/>
    <s v="Orange Juice"/>
    <s v="Beverages"/>
    <n v="10.16"/>
    <n v="10"/>
    <n v="7.11"/>
    <n v="108.71"/>
    <n v="0"/>
    <x v="0"/>
  </r>
  <r>
    <n v="78"/>
    <s v="A"/>
    <s v="Chicago"/>
    <s v="Normal"/>
    <s v="Male"/>
    <s v="Apple"/>
    <s v="Fruits"/>
    <n v="6.73"/>
    <n v="20"/>
    <n v="9.42"/>
    <n v="144.02000000000001"/>
    <n v="0"/>
    <x v="0"/>
  </r>
  <r>
    <n v="79"/>
    <s v="B"/>
    <s v="Los Angeles"/>
    <s v="Normal"/>
    <s v="Female"/>
    <s v="Notebook"/>
    <s v="Stationery"/>
    <n v="14.18"/>
    <n v="11"/>
    <n v="10.92"/>
    <n v="166.9"/>
    <n v="0"/>
    <x v="0"/>
  </r>
  <r>
    <n v="80"/>
    <s v="C"/>
    <s v="New York"/>
    <s v="Member"/>
    <s v="Male"/>
    <s v="Notebook"/>
    <s v="Stationery"/>
    <n v="16.600000000000001"/>
    <n v="16"/>
    <n v="18.59"/>
    <n v="284.19"/>
    <n v="28"/>
    <x v="0"/>
  </r>
  <r>
    <n v="81"/>
    <s v="A"/>
    <s v="Chicago"/>
    <s v="Normal"/>
    <s v="Female"/>
    <s v="Orange Juice"/>
    <s v="Beverages"/>
    <n v="13.36"/>
    <n v="20"/>
    <n v="18.7"/>
    <n v="285.89999999999998"/>
    <n v="0"/>
    <x v="0"/>
  </r>
  <r>
    <n v="82"/>
    <s v="A"/>
    <s v="Chicago"/>
    <s v="Member"/>
    <s v="Male"/>
    <s v="Orange Juice"/>
    <s v="Beverages"/>
    <n v="14.04"/>
    <n v="15"/>
    <n v="14.74"/>
    <n v="225.34"/>
    <n v="22"/>
    <x v="0"/>
  </r>
  <r>
    <n v="83"/>
    <s v="B"/>
    <s v="Los Angeles"/>
    <s v="Normal"/>
    <s v="Male"/>
    <s v="Orange Juice"/>
    <s v="Beverages"/>
    <n v="13.89"/>
    <n v="8"/>
    <n v="7.78"/>
    <n v="118.9"/>
    <n v="0"/>
    <x v="0"/>
  </r>
  <r>
    <n v="84"/>
    <s v="C"/>
    <s v="New York"/>
    <s v="Member"/>
    <s v="Female"/>
    <s v="Notebook"/>
    <s v="Stationery"/>
    <n v="17.559999999999999"/>
    <n v="10"/>
    <n v="12.29"/>
    <n v="187.89"/>
    <n v="18"/>
    <x v="0"/>
  </r>
  <r>
    <n v="85"/>
    <s v="A"/>
    <s v="Chicago"/>
    <s v="Normal"/>
    <s v="Female"/>
    <s v="Detergent"/>
    <s v="Household"/>
    <n v="3.79"/>
    <n v="13"/>
    <n v="3.45"/>
    <n v="52.72"/>
    <n v="0"/>
    <x v="0"/>
  </r>
  <r>
    <n v="86"/>
    <s v="B"/>
    <s v="Los Angeles"/>
    <s v="Normal"/>
    <s v="Male"/>
    <s v="Orange Juice"/>
    <s v="Beverages"/>
    <n v="5"/>
    <n v="10"/>
    <n v="3.5"/>
    <n v="53.5"/>
    <n v="0"/>
    <x v="0"/>
  </r>
  <r>
    <n v="87"/>
    <s v="A"/>
    <s v="Chicago"/>
    <s v="Member"/>
    <s v="Female"/>
    <s v="Shampoo"/>
    <s v="Personal Care"/>
    <n v="2.74"/>
    <n v="2"/>
    <n v="0.38"/>
    <n v="5.86"/>
    <n v="0"/>
    <x v="0"/>
  </r>
  <r>
    <n v="88"/>
    <s v="C"/>
    <s v="New York"/>
    <s v="Normal"/>
    <s v="Female"/>
    <s v="Orange Juice"/>
    <s v="Beverages"/>
    <n v="13.87"/>
    <n v="8"/>
    <n v="7.77"/>
    <n v="118.73"/>
    <n v="0"/>
    <x v="0"/>
  </r>
  <r>
    <n v="89"/>
    <s v="A"/>
    <s v="Chicago"/>
    <s v="Normal"/>
    <s v="Male"/>
    <s v="Detergent"/>
    <s v="Household"/>
    <n v="19.61"/>
    <n v="2"/>
    <n v="2.75"/>
    <n v="41.97"/>
    <n v="0"/>
    <x v="0"/>
  </r>
  <r>
    <n v="90"/>
    <s v="B"/>
    <s v="Los Angeles"/>
    <s v="Normal"/>
    <s v="Male"/>
    <s v="Notebook"/>
    <s v="Stationery"/>
    <n v="10.71"/>
    <n v="10"/>
    <n v="7.5"/>
    <n v="114.6"/>
    <n v="0"/>
    <x v="0"/>
  </r>
  <r>
    <n v="91"/>
    <s v="A"/>
    <s v="Chicago"/>
    <s v="Member"/>
    <s v="Female"/>
    <s v="Orange Juice"/>
    <s v="Beverages"/>
    <n v="18.57"/>
    <n v="3"/>
    <n v="3.9"/>
    <n v="59.61"/>
    <n v="5"/>
    <x v="0"/>
  </r>
  <r>
    <n v="92"/>
    <s v="B"/>
    <s v="Los Angeles"/>
    <s v="Member"/>
    <s v="Male"/>
    <s v="Notebook"/>
    <s v="Stationery"/>
    <n v="19.100000000000001"/>
    <n v="2"/>
    <n v="2.67"/>
    <n v="40.869999999999997"/>
    <n v="4"/>
    <x v="0"/>
  </r>
  <r>
    <n v="93"/>
    <s v="C"/>
    <s v="New York"/>
    <s v="Member"/>
    <s v="Female"/>
    <s v="Apple"/>
    <s v="Fruits"/>
    <n v="10.029999999999999"/>
    <n v="12"/>
    <n v="8.43"/>
    <n v="128.79"/>
    <n v="12"/>
    <x v="0"/>
  </r>
  <r>
    <n v="94"/>
    <s v="B"/>
    <s v="Los Angeles"/>
    <s v="Member"/>
    <s v="Female"/>
    <s v="Orange Juice"/>
    <s v="Beverages"/>
    <n v="5.65"/>
    <n v="9"/>
    <n v="3.56"/>
    <n v="54.41"/>
    <n v="5"/>
    <x v="0"/>
  </r>
  <r>
    <n v="95"/>
    <s v="B"/>
    <s v="Los Angeles"/>
    <s v="Normal"/>
    <s v="Female"/>
    <s v="Shampoo"/>
    <s v="Personal Care"/>
    <n v="18.04"/>
    <n v="9"/>
    <n v="11.37"/>
    <n v="173.73"/>
    <n v="0"/>
    <x v="0"/>
  </r>
  <r>
    <n v="96"/>
    <s v="C"/>
    <s v="New York"/>
    <s v="Member"/>
    <s v="Male"/>
    <s v="Apple"/>
    <s v="Fruits"/>
    <n v="6.9"/>
    <n v="1"/>
    <n v="0.48"/>
    <n v="7.38"/>
    <n v="0"/>
    <x v="0"/>
  </r>
  <r>
    <n v="97"/>
    <s v="B"/>
    <s v="Los Angeles"/>
    <s v="Member"/>
    <s v="Male"/>
    <s v="Orange Juice"/>
    <s v="Beverages"/>
    <n v="18.78"/>
    <n v="17"/>
    <n v="22.35"/>
    <n v="341.61"/>
    <n v="34"/>
    <x v="0"/>
  </r>
  <r>
    <n v="98"/>
    <s v="B"/>
    <s v="Los Angeles"/>
    <s v="Normal"/>
    <s v="Male"/>
    <s v="Notebook"/>
    <s v="Stationery"/>
    <n v="15.55"/>
    <n v="3"/>
    <n v="3.27"/>
    <n v="49.92"/>
    <n v="0"/>
    <x v="0"/>
  </r>
  <r>
    <n v="99"/>
    <s v="C"/>
    <s v="New York"/>
    <s v="Normal"/>
    <s v="Male"/>
    <s v="Detergent"/>
    <s v="Household"/>
    <n v="15.25"/>
    <n v="17"/>
    <n v="18.149999999999999"/>
    <n v="277.39999999999998"/>
    <n v="0"/>
    <x v="0"/>
  </r>
  <r>
    <n v="100"/>
    <s v="A"/>
    <s v="Chicago"/>
    <s v="Member"/>
    <s v="Male"/>
    <s v="Notebook"/>
    <s v="Stationery"/>
    <n v="10.62"/>
    <n v="18"/>
    <n v="13.38"/>
    <n v="204.54"/>
    <n v="20"/>
    <x v="0"/>
  </r>
  <r>
    <n v="101"/>
    <s v="B"/>
    <s v="Los Angeles"/>
    <s v="Member"/>
    <s v="Male"/>
    <s v="Orange Juice"/>
    <s v="Beverages"/>
    <n v="4.24"/>
    <n v="20"/>
    <n v="5.94"/>
    <n v="90.74"/>
    <n v="9"/>
    <x v="0"/>
  </r>
  <r>
    <n v="102"/>
    <s v="C"/>
    <s v="New York"/>
    <s v="Normal"/>
    <s v="Female"/>
    <s v="Notebook"/>
    <s v="Stationery"/>
    <n v="16.690000000000001"/>
    <n v="4"/>
    <n v="4.67"/>
    <n v="71.430000000000007"/>
    <n v="0"/>
    <x v="0"/>
  </r>
  <r>
    <n v="103"/>
    <s v="C"/>
    <s v="New York"/>
    <s v="Normal"/>
    <s v="Male"/>
    <s v="Orange Juice"/>
    <s v="Beverages"/>
    <n v="8.89"/>
    <n v="9"/>
    <n v="5.6"/>
    <n v="85.61"/>
    <n v="0"/>
    <x v="0"/>
  </r>
  <r>
    <n v="104"/>
    <s v="C"/>
    <s v="New York"/>
    <s v="Normal"/>
    <s v="Male"/>
    <s v="Shampoo"/>
    <s v="Personal Care"/>
    <n v="18.239999999999998"/>
    <n v="18"/>
    <n v="22.98"/>
    <n v="351.3"/>
    <n v="0"/>
    <x v="0"/>
  </r>
  <r>
    <n v="105"/>
    <s v="B"/>
    <s v="Los Angeles"/>
    <s v="Member"/>
    <s v="Female"/>
    <s v="Orange Juice"/>
    <s v="Beverages"/>
    <n v="6.23"/>
    <n v="18"/>
    <n v="7.85"/>
    <n v="119.99"/>
    <n v="11"/>
    <x v="0"/>
  </r>
  <r>
    <n v="106"/>
    <s v="A"/>
    <s v="Chicago"/>
    <s v="Normal"/>
    <s v="Male"/>
    <s v="Apple"/>
    <s v="Fruits"/>
    <n v="1.02"/>
    <n v="2"/>
    <n v="0.14000000000000001"/>
    <n v="2.1800000000000002"/>
    <n v="0"/>
    <x v="0"/>
  </r>
  <r>
    <n v="107"/>
    <s v="C"/>
    <s v="New York"/>
    <s v="Member"/>
    <s v="Female"/>
    <s v="Detergent"/>
    <s v="Household"/>
    <n v="4.5"/>
    <n v="6"/>
    <n v="1.89"/>
    <n v="28.89"/>
    <n v="2"/>
    <x v="0"/>
  </r>
  <r>
    <n v="108"/>
    <s v="B"/>
    <s v="Los Angeles"/>
    <s v="Normal"/>
    <s v="Male"/>
    <s v="Detergent"/>
    <s v="Household"/>
    <n v="7.31"/>
    <n v="15"/>
    <n v="7.68"/>
    <n v="117.33"/>
    <n v="0"/>
    <x v="0"/>
  </r>
  <r>
    <n v="109"/>
    <s v="B"/>
    <s v="Los Angeles"/>
    <s v="Normal"/>
    <s v="Male"/>
    <s v="Orange Juice"/>
    <s v="Beverages"/>
    <n v="16.899999999999999"/>
    <n v="9"/>
    <n v="10.65"/>
    <n v="162.75"/>
    <n v="0"/>
    <x v="0"/>
  </r>
  <r>
    <n v="110"/>
    <s v="C"/>
    <s v="New York"/>
    <s v="Member"/>
    <s v="Female"/>
    <s v="Detergent"/>
    <s v="Household"/>
    <n v="5.91"/>
    <n v="13"/>
    <n v="5.38"/>
    <n v="82.21"/>
    <n v="8"/>
    <x v="0"/>
  </r>
  <r>
    <n v="111"/>
    <s v="A"/>
    <s v="Chicago"/>
    <s v="Member"/>
    <s v="Female"/>
    <s v="Apple"/>
    <s v="Fruits"/>
    <n v="14.97"/>
    <n v="9"/>
    <n v="9.43"/>
    <n v="144.16"/>
    <n v="14"/>
    <x v="0"/>
  </r>
  <r>
    <n v="112"/>
    <s v="C"/>
    <s v="New York"/>
    <s v="Member"/>
    <s v="Male"/>
    <s v="Apple"/>
    <s v="Fruits"/>
    <n v="10.039999999999999"/>
    <n v="9"/>
    <n v="6.33"/>
    <n v="96.69"/>
    <n v="9"/>
    <x v="0"/>
  </r>
  <r>
    <n v="113"/>
    <s v="A"/>
    <s v="Chicago"/>
    <s v="Member"/>
    <s v="Male"/>
    <s v="Apple"/>
    <s v="Fruits"/>
    <n v="20.89"/>
    <n v="3"/>
    <n v="4.3899999999999997"/>
    <n v="67.06"/>
    <n v="6"/>
    <x v="0"/>
  </r>
  <r>
    <n v="114"/>
    <s v="A"/>
    <s v="Chicago"/>
    <s v="Member"/>
    <s v="Female"/>
    <s v="Detergent"/>
    <s v="Household"/>
    <n v="9.3800000000000008"/>
    <n v="15"/>
    <n v="9.85"/>
    <n v="150.55000000000001"/>
    <n v="15"/>
    <x v="0"/>
  </r>
  <r>
    <n v="115"/>
    <s v="C"/>
    <s v="New York"/>
    <s v="Normal"/>
    <s v="Male"/>
    <s v="Orange Juice"/>
    <s v="Beverages"/>
    <n v="4.7699999999999996"/>
    <n v="11"/>
    <n v="3.67"/>
    <n v="56.14"/>
    <n v="0"/>
    <x v="0"/>
  </r>
  <r>
    <n v="116"/>
    <s v="C"/>
    <s v="New York"/>
    <s v="Normal"/>
    <s v="Female"/>
    <s v="Apple"/>
    <s v="Fruits"/>
    <n v="7.01"/>
    <n v="19"/>
    <n v="9.32"/>
    <n v="142.51"/>
    <n v="0"/>
    <x v="0"/>
  </r>
  <r>
    <n v="117"/>
    <s v="A"/>
    <s v="Chicago"/>
    <s v="Member"/>
    <s v="Male"/>
    <s v="Shampoo"/>
    <s v="Personal Care"/>
    <n v="12.65"/>
    <n v="18"/>
    <n v="15.94"/>
    <n v="243.64"/>
    <n v="24"/>
    <x v="0"/>
  </r>
  <r>
    <n v="118"/>
    <s v="B"/>
    <s v="Los Angeles"/>
    <s v="Member"/>
    <s v="Female"/>
    <s v="Detergent"/>
    <s v="Household"/>
    <n v="5.42"/>
    <n v="16"/>
    <n v="6.07"/>
    <n v="92.79"/>
    <n v="9"/>
    <x v="0"/>
  </r>
  <r>
    <n v="119"/>
    <s v="A"/>
    <s v="Chicago"/>
    <s v="Normal"/>
    <s v="Female"/>
    <s v="Apple"/>
    <s v="Fruits"/>
    <n v="17.61"/>
    <n v="7"/>
    <n v="8.6300000000000008"/>
    <n v="131.9"/>
    <n v="0"/>
    <x v="0"/>
  </r>
  <r>
    <n v="120"/>
    <s v="C"/>
    <s v="New York"/>
    <s v="Normal"/>
    <s v="Male"/>
    <s v="Orange Juice"/>
    <s v="Beverages"/>
    <n v="4.6399999999999997"/>
    <n v="9"/>
    <n v="2.92"/>
    <n v="44.68"/>
    <n v="0"/>
    <x v="0"/>
  </r>
  <r>
    <n v="121"/>
    <s v="B"/>
    <s v="Los Angeles"/>
    <s v="Member"/>
    <s v="Female"/>
    <s v="Notebook"/>
    <s v="Stationery"/>
    <n v="1.68"/>
    <n v="4"/>
    <n v="0.47"/>
    <n v="7.19"/>
    <n v="0"/>
    <x v="0"/>
  </r>
  <r>
    <n v="122"/>
    <s v="C"/>
    <s v="New York"/>
    <s v="Normal"/>
    <s v="Female"/>
    <s v="Detergent"/>
    <s v="Household"/>
    <n v="3.2"/>
    <n v="12"/>
    <n v="2.69"/>
    <n v="41.09"/>
    <n v="0"/>
    <x v="0"/>
  </r>
  <r>
    <n v="123"/>
    <s v="A"/>
    <s v="Chicago"/>
    <s v="Normal"/>
    <s v="Male"/>
    <s v="Shampoo"/>
    <s v="Personal Care"/>
    <n v="3.33"/>
    <n v="11"/>
    <n v="2.56"/>
    <n v="39.19"/>
    <n v="0"/>
    <x v="0"/>
  </r>
  <r>
    <n v="124"/>
    <s v="C"/>
    <s v="New York"/>
    <s v="Member"/>
    <s v="Female"/>
    <s v="Detergent"/>
    <s v="Household"/>
    <n v="14.91"/>
    <n v="4"/>
    <n v="4.17"/>
    <n v="63.81"/>
    <n v="6"/>
    <x v="0"/>
  </r>
  <r>
    <n v="125"/>
    <s v="C"/>
    <s v="New York"/>
    <s v="Member"/>
    <s v="Male"/>
    <s v="Shampoo"/>
    <s v="Personal Care"/>
    <n v="6.84"/>
    <n v="6"/>
    <n v="2.87"/>
    <n v="43.91"/>
    <n v="4"/>
    <x v="0"/>
  </r>
  <r>
    <n v="126"/>
    <s v="C"/>
    <s v="New York"/>
    <s v="Member"/>
    <s v="Female"/>
    <s v="Detergent"/>
    <s v="Household"/>
    <n v="20.37"/>
    <n v="10"/>
    <n v="14.26"/>
    <n v="217.96"/>
    <n v="21"/>
    <x v="0"/>
  </r>
  <r>
    <n v="127"/>
    <s v="C"/>
    <s v="New York"/>
    <s v="Normal"/>
    <s v="Male"/>
    <s v="Apple"/>
    <s v="Fruits"/>
    <n v="1.0900000000000001"/>
    <n v="10"/>
    <n v="0.76"/>
    <n v="11.66"/>
    <n v="0"/>
    <x v="0"/>
  </r>
  <r>
    <n v="128"/>
    <s v="A"/>
    <s v="Chicago"/>
    <s v="Member"/>
    <s v="Female"/>
    <s v="Notebook"/>
    <s v="Stationery"/>
    <n v="2.78"/>
    <n v="5"/>
    <n v="0.97"/>
    <n v="14.87"/>
    <n v="1"/>
    <x v="0"/>
  </r>
  <r>
    <n v="129"/>
    <s v="A"/>
    <s v="Chicago"/>
    <s v="Member"/>
    <s v="Female"/>
    <s v="Shampoo"/>
    <s v="Personal Care"/>
    <n v="15.52"/>
    <n v="4"/>
    <n v="4.3499999999999996"/>
    <n v="66.430000000000007"/>
    <n v="6"/>
    <x v="0"/>
  </r>
  <r>
    <n v="130"/>
    <s v="B"/>
    <s v="Los Angeles"/>
    <s v="Member"/>
    <s v="Female"/>
    <s v="Shampoo"/>
    <s v="Personal Care"/>
    <n v="13.18"/>
    <n v="16"/>
    <n v="14.76"/>
    <n v="225.64"/>
    <n v="22"/>
    <x v="0"/>
  </r>
  <r>
    <n v="131"/>
    <s v="C"/>
    <s v="New York"/>
    <s v="Normal"/>
    <s v="Male"/>
    <s v="Shampoo"/>
    <s v="Personal Care"/>
    <n v="6.17"/>
    <n v="19"/>
    <n v="8.2100000000000009"/>
    <n v="125.44"/>
    <n v="0"/>
    <x v="0"/>
  </r>
  <r>
    <n v="132"/>
    <s v="A"/>
    <s v="Chicago"/>
    <s v="Normal"/>
    <s v="Male"/>
    <s v="Orange Juice"/>
    <s v="Beverages"/>
    <n v="12.01"/>
    <n v="17"/>
    <n v="14.29"/>
    <n v="218.46"/>
    <n v="0"/>
    <x v="0"/>
  </r>
  <r>
    <n v="133"/>
    <s v="A"/>
    <s v="Chicago"/>
    <s v="Normal"/>
    <s v="Male"/>
    <s v="Apple"/>
    <s v="Fruits"/>
    <n v="17.25"/>
    <n v="14"/>
    <n v="16.91"/>
    <n v="258.41000000000003"/>
    <n v="0"/>
    <x v="0"/>
  </r>
  <r>
    <n v="134"/>
    <s v="C"/>
    <s v="New York"/>
    <s v="Member"/>
    <s v="Female"/>
    <s v="Apple"/>
    <s v="Fruits"/>
    <n v="17.25"/>
    <n v="11"/>
    <n v="13.28"/>
    <n v="203.03"/>
    <n v="20"/>
    <x v="0"/>
  </r>
  <r>
    <n v="135"/>
    <s v="C"/>
    <s v="New York"/>
    <s v="Member"/>
    <s v="Female"/>
    <s v="Notebook"/>
    <s v="Stationery"/>
    <n v="20.58"/>
    <n v="19"/>
    <n v="27.37"/>
    <n v="418.39"/>
    <n v="41"/>
    <x v="1"/>
  </r>
  <r>
    <n v="136"/>
    <s v="B"/>
    <s v="Los Angeles"/>
    <s v="Normal"/>
    <s v="Female"/>
    <s v="Apple"/>
    <s v="Fruits"/>
    <n v="4.91"/>
    <n v="1"/>
    <n v="0.34"/>
    <n v="5.25"/>
    <n v="0"/>
    <x v="0"/>
  </r>
  <r>
    <n v="137"/>
    <s v="B"/>
    <s v="Los Angeles"/>
    <s v="Member"/>
    <s v="Female"/>
    <s v="Apple"/>
    <s v="Fruits"/>
    <n v="18.05"/>
    <n v="2"/>
    <n v="2.5299999999999998"/>
    <n v="38.630000000000003"/>
    <n v="3"/>
    <x v="0"/>
  </r>
  <r>
    <n v="138"/>
    <s v="B"/>
    <s v="Los Angeles"/>
    <s v="Member"/>
    <s v="Male"/>
    <s v="Notebook"/>
    <s v="Stationery"/>
    <n v="4.66"/>
    <n v="18"/>
    <n v="5.87"/>
    <n v="89.75"/>
    <n v="8"/>
    <x v="0"/>
  </r>
  <r>
    <n v="139"/>
    <s v="A"/>
    <s v="Chicago"/>
    <s v="Member"/>
    <s v="Male"/>
    <s v="Shampoo"/>
    <s v="Personal Care"/>
    <n v="4.8899999999999997"/>
    <n v="14"/>
    <n v="4.79"/>
    <n v="73.25"/>
    <n v="7"/>
    <x v="0"/>
  </r>
  <r>
    <n v="140"/>
    <s v="B"/>
    <s v="Los Angeles"/>
    <s v="Member"/>
    <s v="Female"/>
    <s v="Orange Juice"/>
    <s v="Beverages"/>
    <n v="9.7100000000000009"/>
    <n v="13"/>
    <n v="8.84"/>
    <n v="135.07"/>
    <n v="13"/>
    <x v="0"/>
  </r>
  <r>
    <n v="141"/>
    <s v="A"/>
    <s v="Chicago"/>
    <s v="Normal"/>
    <s v="Female"/>
    <s v="Notebook"/>
    <s v="Stationery"/>
    <n v="3.44"/>
    <n v="6"/>
    <n v="1.44"/>
    <n v="22.08"/>
    <n v="0"/>
    <x v="0"/>
  </r>
  <r>
    <n v="142"/>
    <s v="C"/>
    <s v="New York"/>
    <s v="Member"/>
    <s v="Female"/>
    <s v="Notebook"/>
    <s v="Stationery"/>
    <n v="14.58"/>
    <n v="7"/>
    <n v="7.14"/>
    <n v="109.2"/>
    <n v="10"/>
    <x v="0"/>
  </r>
  <r>
    <n v="143"/>
    <s v="C"/>
    <s v="New York"/>
    <s v="Member"/>
    <s v="Male"/>
    <s v="Shampoo"/>
    <s v="Personal Care"/>
    <n v="16.690000000000001"/>
    <n v="7"/>
    <n v="8.18"/>
    <n v="125.01"/>
    <n v="12"/>
    <x v="0"/>
  </r>
  <r>
    <n v="144"/>
    <s v="A"/>
    <s v="Chicago"/>
    <s v="Member"/>
    <s v="Male"/>
    <s v="Shampoo"/>
    <s v="Personal Care"/>
    <n v="9.7200000000000006"/>
    <n v="16"/>
    <n v="10.89"/>
    <n v="166.41"/>
    <n v="16"/>
    <x v="0"/>
  </r>
  <r>
    <n v="145"/>
    <s v="B"/>
    <s v="Los Angeles"/>
    <s v="Normal"/>
    <s v="Male"/>
    <s v="Shampoo"/>
    <s v="Personal Care"/>
    <n v="15.96"/>
    <n v="2"/>
    <n v="2.23"/>
    <n v="34.15"/>
    <n v="0"/>
    <x v="0"/>
  </r>
  <r>
    <n v="146"/>
    <s v="C"/>
    <s v="New York"/>
    <s v="Member"/>
    <s v="Male"/>
    <s v="Apple"/>
    <s v="Fruits"/>
    <n v="11.42"/>
    <n v="20"/>
    <n v="15.99"/>
    <n v="244.39"/>
    <n v="24"/>
    <x v="0"/>
  </r>
  <r>
    <n v="147"/>
    <s v="C"/>
    <s v="New York"/>
    <s v="Normal"/>
    <s v="Male"/>
    <s v="Notebook"/>
    <s v="Stationery"/>
    <n v="5.01"/>
    <n v="12"/>
    <n v="4.21"/>
    <n v="64.33"/>
    <n v="0"/>
    <x v="0"/>
  </r>
  <r>
    <n v="148"/>
    <s v="A"/>
    <s v="Chicago"/>
    <s v="Member"/>
    <s v="Male"/>
    <s v="Notebook"/>
    <s v="Stationery"/>
    <n v="2.27"/>
    <n v="9"/>
    <n v="1.43"/>
    <n v="21.86"/>
    <n v="2"/>
    <x v="0"/>
  </r>
  <r>
    <n v="149"/>
    <s v="C"/>
    <s v="New York"/>
    <s v="Member"/>
    <s v="Female"/>
    <s v="Shampoo"/>
    <s v="Personal Care"/>
    <n v="13.07"/>
    <n v="19"/>
    <n v="17.38"/>
    <n v="265.70999999999998"/>
    <n v="26"/>
    <x v="0"/>
  </r>
  <r>
    <n v="150"/>
    <s v="C"/>
    <s v="New York"/>
    <s v="Normal"/>
    <s v="Female"/>
    <s v="Notebook"/>
    <s v="Stationery"/>
    <n v="5.83"/>
    <n v="14"/>
    <n v="5.71"/>
    <n v="87.33"/>
    <n v="0"/>
    <x v="0"/>
  </r>
  <r>
    <n v="151"/>
    <s v="A"/>
    <s v="Chicago"/>
    <s v="Normal"/>
    <s v="Male"/>
    <s v="Shampoo"/>
    <s v="Personal Care"/>
    <n v="20.059999999999999"/>
    <n v="14"/>
    <n v="19.66"/>
    <n v="300.5"/>
    <n v="0"/>
    <x v="0"/>
  </r>
  <r>
    <n v="152"/>
    <s v="A"/>
    <s v="Chicago"/>
    <s v="Normal"/>
    <s v="Male"/>
    <s v="Orange Juice"/>
    <s v="Beverages"/>
    <n v="19.89"/>
    <n v="10"/>
    <n v="13.92"/>
    <n v="212.82"/>
    <n v="0"/>
    <x v="0"/>
  </r>
  <r>
    <n v="153"/>
    <s v="A"/>
    <s v="Chicago"/>
    <s v="Normal"/>
    <s v="Male"/>
    <s v="Notebook"/>
    <s v="Stationery"/>
    <n v="5.56"/>
    <n v="19"/>
    <n v="7.39"/>
    <n v="113.03"/>
    <n v="0"/>
    <x v="0"/>
  </r>
  <r>
    <n v="154"/>
    <s v="B"/>
    <s v="Los Angeles"/>
    <s v="Normal"/>
    <s v="Male"/>
    <s v="Detergent"/>
    <s v="Household"/>
    <n v="17.21"/>
    <n v="1"/>
    <n v="1.2"/>
    <n v="18.41"/>
    <n v="0"/>
    <x v="0"/>
  </r>
  <r>
    <n v="155"/>
    <s v="A"/>
    <s v="Chicago"/>
    <s v="Member"/>
    <s v="Male"/>
    <s v="Apple"/>
    <s v="Fruits"/>
    <n v="11.38"/>
    <n v="11"/>
    <n v="8.76"/>
    <n v="133.94"/>
    <n v="13"/>
    <x v="0"/>
  </r>
  <r>
    <n v="156"/>
    <s v="A"/>
    <s v="Chicago"/>
    <s v="Member"/>
    <s v="Male"/>
    <s v="Orange Juice"/>
    <s v="Beverages"/>
    <n v="5.33"/>
    <n v="20"/>
    <n v="7.46"/>
    <n v="114.06"/>
    <n v="11"/>
    <x v="0"/>
  </r>
  <r>
    <n v="157"/>
    <s v="C"/>
    <s v="New York"/>
    <s v="Normal"/>
    <s v="Female"/>
    <s v="Shampoo"/>
    <s v="Personal Care"/>
    <n v="18.79"/>
    <n v="20"/>
    <n v="26.31"/>
    <n v="402.11"/>
    <n v="0"/>
    <x v="1"/>
  </r>
  <r>
    <n v="158"/>
    <s v="C"/>
    <s v="New York"/>
    <s v="Normal"/>
    <s v="Male"/>
    <s v="Shampoo"/>
    <s v="Personal Care"/>
    <n v="19.04"/>
    <n v="1"/>
    <n v="1.33"/>
    <n v="20.37"/>
    <n v="0"/>
    <x v="0"/>
  </r>
  <r>
    <n v="159"/>
    <s v="C"/>
    <s v="New York"/>
    <s v="Normal"/>
    <s v="Female"/>
    <s v="Notebook"/>
    <s v="Stationery"/>
    <n v="19.82"/>
    <n v="11"/>
    <n v="15.26"/>
    <n v="233.28"/>
    <n v="0"/>
    <x v="0"/>
  </r>
  <r>
    <n v="160"/>
    <s v="A"/>
    <s v="Chicago"/>
    <s v="Member"/>
    <s v="Female"/>
    <s v="Orange Juice"/>
    <s v="Beverages"/>
    <n v="9.31"/>
    <n v="2"/>
    <n v="1.3"/>
    <n v="19.920000000000002"/>
    <n v="1"/>
    <x v="0"/>
  </r>
  <r>
    <n v="161"/>
    <s v="A"/>
    <s v="Chicago"/>
    <s v="Member"/>
    <s v="Male"/>
    <s v="Orange Juice"/>
    <s v="Beverages"/>
    <n v="20.91"/>
    <n v="19"/>
    <n v="27.81"/>
    <n v="425.1"/>
    <n v="42"/>
    <x v="1"/>
  </r>
  <r>
    <n v="162"/>
    <s v="C"/>
    <s v="New York"/>
    <s v="Member"/>
    <s v="Female"/>
    <s v="Shampoo"/>
    <s v="Personal Care"/>
    <n v="15.06"/>
    <n v="4"/>
    <n v="4.22"/>
    <n v="64.459999999999994"/>
    <n v="6"/>
    <x v="0"/>
  </r>
  <r>
    <n v="163"/>
    <s v="B"/>
    <s v="Los Angeles"/>
    <s v="Normal"/>
    <s v="Male"/>
    <s v="Orange Juice"/>
    <s v="Beverages"/>
    <n v="17.61"/>
    <n v="11"/>
    <n v="13.56"/>
    <n v="207.27"/>
    <n v="0"/>
    <x v="0"/>
  </r>
  <r>
    <n v="164"/>
    <s v="B"/>
    <s v="Los Angeles"/>
    <s v="Normal"/>
    <s v="Male"/>
    <s v="Notebook"/>
    <s v="Stationery"/>
    <n v="20.76"/>
    <n v="8"/>
    <n v="11.63"/>
    <n v="177.71"/>
    <n v="0"/>
    <x v="0"/>
  </r>
  <r>
    <n v="165"/>
    <s v="A"/>
    <s v="Chicago"/>
    <s v="Member"/>
    <s v="Female"/>
    <s v="Detergent"/>
    <s v="Household"/>
    <n v="11.92"/>
    <n v="18"/>
    <n v="15.02"/>
    <n v="229.58"/>
    <n v="22"/>
    <x v="0"/>
  </r>
  <r>
    <n v="166"/>
    <s v="B"/>
    <s v="Los Angeles"/>
    <s v="Normal"/>
    <s v="Male"/>
    <s v="Detergent"/>
    <s v="Household"/>
    <n v="14.17"/>
    <n v="18"/>
    <n v="17.850000000000001"/>
    <n v="272.91000000000003"/>
    <n v="0"/>
    <x v="0"/>
  </r>
  <r>
    <n v="167"/>
    <s v="B"/>
    <s v="Los Angeles"/>
    <s v="Normal"/>
    <s v="Male"/>
    <s v="Apple"/>
    <s v="Fruits"/>
    <n v="6.56"/>
    <n v="10"/>
    <n v="4.59"/>
    <n v="70.19"/>
    <n v="0"/>
    <x v="0"/>
  </r>
  <r>
    <n v="168"/>
    <s v="A"/>
    <s v="Chicago"/>
    <s v="Member"/>
    <s v="Male"/>
    <s v="Detergent"/>
    <s v="Household"/>
    <n v="9.6300000000000008"/>
    <n v="12"/>
    <n v="8.09"/>
    <n v="123.65"/>
    <n v="12"/>
    <x v="0"/>
  </r>
  <r>
    <n v="169"/>
    <s v="C"/>
    <s v="New York"/>
    <s v="Member"/>
    <s v="Male"/>
    <s v="Orange Juice"/>
    <s v="Beverages"/>
    <n v="17.989999999999998"/>
    <n v="4"/>
    <n v="5.04"/>
    <n v="77"/>
    <n v="7"/>
    <x v="0"/>
  </r>
  <r>
    <n v="170"/>
    <s v="B"/>
    <s v="Los Angeles"/>
    <s v="Normal"/>
    <s v="Female"/>
    <s v="Detergent"/>
    <s v="Household"/>
    <n v="5.36"/>
    <n v="12"/>
    <n v="4.5"/>
    <n v="68.819999999999993"/>
    <n v="0"/>
    <x v="0"/>
  </r>
  <r>
    <n v="171"/>
    <s v="C"/>
    <s v="New York"/>
    <s v="Member"/>
    <s v="Female"/>
    <s v="Orange Juice"/>
    <s v="Beverages"/>
    <n v="11.53"/>
    <n v="5"/>
    <n v="4.04"/>
    <n v="61.69"/>
    <n v="6"/>
    <x v="0"/>
  </r>
  <r>
    <n v="172"/>
    <s v="B"/>
    <s v="Los Angeles"/>
    <s v="Normal"/>
    <s v="Female"/>
    <s v="Shampoo"/>
    <s v="Personal Care"/>
    <n v="14.82"/>
    <n v="15"/>
    <n v="15.56"/>
    <n v="237.86"/>
    <n v="0"/>
    <x v="0"/>
  </r>
  <r>
    <n v="173"/>
    <s v="C"/>
    <s v="New York"/>
    <s v="Member"/>
    <s v="Female"/>
    <s v="Apple"/>
    <s v="Fruits"/>
    <n v="14.83"/>
    <n v="20"/>
    <n v="20.76"/>
    <n v="317.36"/>
    <n v="31"/>
    <x v="0"/>
  </r>
  <r>
    <n v="174"/>
    <s v="B"/>
    <s v="Los Angeles"/>
    <s v="Member"/>
    <s v="Male"/>
    <s v="Shampoo"/>
    <s v="Personal Care"/>
    <n v="5.09"/>
    <n v="3"/>
    <n v="1.07"/>
    <n v="16.34"/>
    <n v="1"/>
    <x v="0"/>
  </r>
  <r>
    <n v="175"/>
    <s v="C"/>
    <s v="New York"/>
    <s v="Normal"/>
    <s v="Male"/>
    <s v="Detergent"/>
    <s v="Household"/>
    <n v="17.32"/>
    <n v="15"/>
    <n v="18.190000000000001"/>
    <n v="277.99"/>
    <n v="0"/>
    <x v="0"/>
  </r>
  <r>
    <n v="176"/>
    <s v="B"/>
    <s v="Los Angeles"/>
    <s v="Member"/>
    <s v="Female"/>
    <s v="Shampoo"/>
    <s v="Personal Care"/>
    <n v="14.31"/>
    <n v="1"/>
    <n v="1"/>
    <n v="15.31"/>
    <n v="1"/>
    <x v="0"/>
  </r>
  <r>
    <n v="177"/>
    <s v="B"/>
    <s v="Los Angeles"/>
    <s v="Member"/>
    <s v="Male"/>
    <s v="Orange Juice"/>
    <s v="Beverages"/>
    <n v="1.21"/>
    <n v="10"/>
    <n v="0.85"/>
    <n v="12.95"/>
    <n v="1"/>
    <x v="0"/>
  </r>
  <r>
    <n v="178"/>
    <s v="A"/>
    <s v="Chicago"/>
    <s v="Member"/>
    <s v="Male"/>
    <s v="Notebook"/>
    <s v="Stationery"/>
    <n v="11.85"/>
    <n v="10"/>
    <n v="8.3000000000000007"/>
    <n v="126.8"/>
    <n v="12"/>
    <x v="0"/>
  </r>
  <r>
    <n v="179"/>
    <s v="C"/>
    <s v="New York"/>
    <s v="Member"/>
    <s v="Male"/>
    <s v="Notebook"/>
    <s v="Stationery"/>
    <n v="4.5999999999999996"/>
    <n v="3"/>
    <n v="0.97"/>
    <n v="14.77"/>
    <n v="1"/>
    <x v="0"/>
  </r>
  <r>
    <n v="180"/>
    <s v="B"/>
    <s v="Los Angeles"/>
    <s v="Member"/>
    <s v="Female"/>
    <s v="Orange Juice"/>
    <s v="Beverages"/>
    <n v="6.78"/>
    <n v="4"/>
    <n v="1.9"/>
    <n v="29.02"/>
    <n v="2"/>
    <x v="0"/>
  </r>
  <r>
    <n v="181"/>
    <s v="B"/>
    <s v="Los Angeles"/>
    <s v="Member"/>
    <s v="Female"/>
    <s v="Notebook"/>
    <s v="Stationery"/>
    <n v="15.13"/>
    <n v="17"/>
    <n v="18"/>
    <n v="275.20999999999998"/>
    <n v="27"/>
    <x v="0"/>
  </r>
  <r>
    <n v="182"/>
    <s v="C"/>
    <s v="New York"/>
    <s v="Normal"/>
    <s v="Female"/>
    <s v="Detergent"/>
    <s v="Household"/>
    <n v="3.14"/>
    <n v="8"/>
    <n v="1.76"/>
    <n v="26.88"/>
    <n v="0"/>
    <x v="0"/>
  </r>
  <r>
    <n v="183"/>
    <s v="A"/>
    <s v="Chicago"/>
    <s v="Normal"/>
    <s v="Female"/>
    <s v="Notebook"/>
    <s v="Stationery"/>
    <n v="4.37"/>
    <n v="15"/>
    <n v="4.59"/>
    <n v="70.14"/>
    <n v="0"/>
    <x v="0"/>
  </r>
  <r>
    <n v="184"/>
    <s v="C"/>
    <s v="New York"/>
    <s v="Member"/>
    <s v="Female"/>
    <s v="Shampoo"/>
    <s v="Personal Care"/>
    <n v="18.7"/>
    <n v="14"/>
    <n v="18.329999999999998"/>
    <n v="280.13"/>
    <n v="28"/>
    <x v="0"/>
  </r>
  <r>
    <n v="185"/>
    <s v="A"/>
    <s v="Chicago"/>
    <s v="Member"/>
    <s v="Female"/>
    <s v="Notebook"/>
    <s v="Stationery"/>
    <n v="19.12"/>
    <n v="16"/>
    <n v="21.41"/>
    <n v="327.33"/>
    <n v="32"/>
    <x v="0"/>
  </r>
  <r>
    <n v="186"/>
    <s v="B"/>
    <s v="Los Angeles"/>
    <s v="Member"/>
    <s v="Female"/>
    <s v="Notebook"/>
    <s v="Stationery"/>
    <n v="11.99"/>
    <n v="3"/>
    <n v="2.52"/>
    <n v="38.49"/>
    <n v="3"/>
    <x v="0"/>
  </r>
  <r>
    <n v="187"/>
    <s v="C"/>
    <s v="New York"/>
    <s v="Member"/>
    <s v="Male"/>
    <s v="Notebook"/>
    <s v="Stationery"/>
    <n v="9.7200000000000006"/>
    <n v="15"/>
    <n v="10.210000000000001"/>
    <n v="156.01"/>
    <n v="15"/>
    <x v="0"/>
  </r>
  <r>
    <n v="188"/>
    <s v="A"/>
    <s v="Chicago"/>
    <s v="Normal"/>
    <s v="Male"/>
    <s v="Notebook"/>
    <s v="Stationery"/>
    <n v="5.72"/>
    <n v="5"/>
    <n v="2"/>
    <n v="30.6"/>
    <n v="0"/>
    <x v="0"/>
  </r>
  <r>
    <n v="189"/>
    <s v="A"/>
    <s v="Chicago"/>
    <s v="Member"/>
    <s v="Male"/>
    <s v="Shampoo"/>
    <s v="Personal Care"/>
    <n v="14.87"/>
    <n v="3"/>
    <n v="3.12"/>
    <n v="47.73"/>
    <n v="4"/>
    <x v="0"/>
  </r>
  <r>
    <n v="190"/>
    <s v="B"/>
    <s v="Los Angeles"/>
    <s v="Member"/>
    <s v="Female"/>
    <s v="Shampoo"/>
    <s v="Personal Care"/>
    <n v="9.66"/>
    <n v="11"/>
    <n v="7.44"/>
    <n v="113.7"/>
    <n v="11"/>
    <x v="0"/>
  </r>
  <r>
    <n v="191"/>
    <s v="C"/>
    <s v="New York"/>
    <s v="Member"/>
    <s v="Male"/>
    <s v="Orange Juice"/>
    <s v="Beverages"/>
    <n v="3.57"/>
    <n v="13"/>
    <n v="3.25"/>
    <n v="49.66"/>
    <n v="4"/>
    <x v="0"/>
  </r>
  <r>
    <n v="192"/>
    <s v="C"/>
    <s v="New York"/>
    <s v="Member"/>
    <s v="Female"/>
    <s v="Detergent"/>
    <s v="Household"/>
    <n v="5.5"/>
    <n v="10"/>
    <n v="3.85"/>
    <n v="58.85"/>
    <n v="5"/>
    <x v="0"/>
  </r>
  <r>
    <n v="193"/>
    <s v="B"/>
    <s v="Los Angeles"/>
    <s v="Normal"/>
    <s v="Male"/>
    <s v="Apple"/>
    <s v="Fruits"/>
    <n v="2.4500000000000002"/>
    <n v="3"/>
    <n v="0.51"/>
    <n v="7.86"/>
    <n v="0"/>
    <x v="0"/>
  </r>
  <r>
    <n v="194"/>
    <s v="A"/>
    <s v="Chicago"/>
    <s v="Member"/>
    <s v="Female"/>
    <s v="Shampoo"/>
    <s v="Personal Care"/>
    <n v="9.57"/>
    <n v="4"/>
    <n v="2.68"/>
    <n v="40.96"/>
    <n v="4"/>
    <x v="0"/>
  </r>
  <r>
    <n v="195"/>
    <s v="B"/>
    <s v="Los Angeles"/>
    <s v="Member"/>
    <s v="Male"/>
    <s v="Notebook"/>
    <s v="Stationery"/>
    <n v="2.61"/>
    <n v="4"/>
    <n v="0.73"/>
    <n v="11.17"/>
    <n v="1"/>
    <x v="0"/>
  </r>
  <r>
    <n v="196"/>
    <s v="C"/>
    <s v="New York"/>
    <s v="Normal"/>
    <s v="Female"/>
    <s v="Apple"/>
    <s v="Fruits"/>
    <n v="8.98"/>
    <n v="6"/>
    <n v="3.77"/>
    <n v="57.65"/>
    <n v="0"/>
    <x v="0"/>
  </r>
  <r>
    <n v="197"/>
    <s v="C"/>
    <s v="New York"/>
    <s v="Member"/>
    <s v="Female"/>
    <s v="Notebook"/>
    <s v="Stationery"/>
    <n v="19.489999999999998"/>
    <n v="15"/>
    <n v="20.46"/>
    <n v="312.81"/>
    <n v="31"/>
    <x v="0"/>
  </r>
  <r>
    <n v="198"/>
    <s v="A"/>
    <s v="Chicago"/>
    <s v="Member"/>
    <s v="Male"/>
    <s v="Orange Juice"/>
    <s v="Beverages"/>
    <n v="6.8"/>
    <n v="18"/>
    <n v="8.57"/>
    <n v="130.97"/>
    <n v="13"/>
    <x v="0"/>
  </r>
  <r>
    <n v="199"/>
    <s v="B"/>
    <s v="Los Angeles"/>
    <s v="Member"/>
    <s v="Male"/>
    <s v="Notebook"/>
    <s v="Stationery"/>
    <n v="9.84"/>
    <n v="16"/>
    <n v="11.02"/>
    <n v="168.46"/>
    <n v="16"/>
    <x v="0"/>
  </r>
  <r>
    <n v="200"/>
    <s v="A"/>
    <s v="Chicago"/>
    <s v="Normal"/>
    <s v="Female"/>
    <s v="Apple"/>
    <s v="Fruits"/>
    <n v="11.39"/>
    <n v="6"/>
    <n v="4.78"/>
    <n v="73.12"/>
    <n v="0"/>
    <x v="0"/>
  </r>
  <r>
    <n v="201"/>
    <s v="C"/>
    <s v="New York"/>
    <s v="Normal"/>
    <s v="Female"/>
    <s v="Detergent"/>
    <s v="Household"/>
    <n v="8.3000000000000007"/>
    <n v="13"/>
    <n v="7.55"/>
    <n v="115.45"/>
    <n v="0"/>
    <x v="0"/>
  </r>
  <r>
    <n v="202"/>
    <s v="C"/>
    <s v="New York"/>
    <s v="Member"/>
    <s v="Female"/>
    <s v="Detergent"/>
    <s v="Household"/>
    <n v="10.9"/>
    <n v="8"/>
    <n v="6.1"/>
    <n v="93.3"/>
    <n v="9"/>
    <x v="0"/>
  </r>
  <r>
    <n v="203"/>
    <s v="B"/>
    <s v="Los Angeles"/>
    <s v="Member"/>
    <s v="Female"/>
    <s v="Shampoo"/>
    <s v="Personal Care"/>
    <n v="3"/>
    <n v="20"/>
    <n v="4.2"/>
    <n v="64.2"/>
    <n v="6"/>
    <x v="0"/>
  </r>
  <r>
    <n v="204"/>
    <s v="A"/>
    <s v="Chicago"/>
    <s v="Member"/>
    <s v="Female"/>
    <s v="Detergent"/>
    <s v="Household"/>
    <n v="16.5"/>
    <n v="10"/>
    <n v="11.55"/>
    <n v="176.55"/>
    <n v="17"/>
    <x v="0"/>
  </r>
  <r>
    <n v="205"/>
    <s v="C"/>
    <s v="New York"/>
    <s v="Normal"/>
    <s v="Female"/>
    <s v="Orange Juice"/>
    <s v="Beverages"/>
    <n v="20.059999999999999"/>
    <n v="5"/>
    <n v="7.02"/>
    <n v="107.32"/>
    <n v="0"/>
    <x v="0"/>
  </r>
  <r>
    <n v="206"/>
    <s v="C"/>
    <s v="New York"/>
    <s v="Normal"/>
    <s v="Female"/>
    <s v="Shampoo"/>
    <s v="Personal Care"/>
    <n v="10.73"/>
    <n v="7"/>
    <n v="5.26"/>
    <n v="80.37"/>
    <n v="0"/>
    <x v="0"/>
  </r>
  <r>
    <n v="207"/>
    <s v="B"/>
    <s v="Los Angeles"/>
    <s v="Normal"/>
    <s v="Female"/>
    <s v="Detergent"/>
    <s v="Household"/>
    <n v="8.4600000000000009"/>
    <n v="18"/>
    <n v="10.66"/>
    <n v="162.94"/>
    <n v="0"/>
    <x v="0"/>
  </r>
  <r>
    <n v="208"/>
    <s v="C"/>
    <s v="New York"/>
    <s v="Member"/>
    <s v="Female"/>
    <s v="Shampoo"/>
    <s v="Personal Care"/>
    <n v="6.76"/>
    <n v="20"/>
    <n v="9.4600000000000009"/>
    <n v="144.66"/>
    <n v="14"/>
    <x v="0"/>
  </r>
  <r>
    <n v="209"/>
    <s v="B"/>
    <s v="Los Angeles"/>
    <s v="Normal"/>
    <s v="Male"/>
    <s v="Orange Juice"/>
    <s v="Beverages"/>
    <n v="8.7100000000000009"/>
    <n v="7"/>
    <n v="4.2699999999999996"/>
    <n v="65.239999999999995"/>
    <n v="0"/>
    <x v="0"/>
  </r>
  <r>
    <n v="210"/>
    <s v="B"/>
    <s v="Los Angeles"/>
    <s v="Member"/>
    <s v="Female"/>
    <s v="Notebook"/>
    <s v="Stationery"/>
    <n v="6.91"/>
    <n v="18"/>
    <n v="8.7100000000000009"/>
    <n v="133.09"/>
    <n v="13"/>
    <x v="0"/>
  </r>
  <r>
    <n v="211"/>
    <s v="A"/>
    <s v="Chicago"/>
    <s v="Member"/>
    <s v="Female"/>
    <s v="Notebook"/>
    <s v="Stationery"/>
    <n v="16.18"/>
    <n v="15"/>
    <n v="16.989999999999998"/>
    <n v="259.69"/>
    <n v="25"/>
    <x v="0"/>
  </r>
  <r>
    <n v="212"/>
    <s v="A"/>
    <s v="Chicago"/>
    <s v="Member"/>
    <s v="Female"/>
    <s v="Detergent"/>
    <s v="Household"/>
    <n v="12.5"/>
    <n v="17"/>
    <n v="14.88"/>
    <n v="227.38"/>
    <n v="22"/>
    <x v="0"/>
  </r>
  <r>
    <n v="213"/>
    <s v="C"/>
    <s v="New York"/>
    <s v="Normal"/>
    <s v="Male"/>
    <s v="Orange Juice"/>
    <s v="Beverages"/>
    <n v="17.55"/>
    <n v="16"/>
    <n v="19.66"/>
    <n v="300.45999999999998"/>
    <n v="0"/>
    <x v="0"/>
  </r>
  <r>
    <n v="214"/>
    <s v="C"/>
    <s v="New York"/>
    <s v="Normal"/>
    <s v="Male"/>
    <s v="Notebook"/>
    <s v="Stationery"/>
    <n v="17.59"/>
    <n v="1"/>
    <n v="1.23"/>
    <n v="18.82"/>
    <n v="0"/>
    <x v="0"/>
  </r>
  <r>
    <n v="215"/>
    <s v="B"/>
    <s v="Los Angeles"/>
    <s v="Member"/>
    <s v="Female"/>
    <s v="Notebook"/>
    <s v="Stationery"/>
    <n v="6.7"/>
    <n v="19"/>
    <n v="8.91"/>
    <n v="136.21"/>
    <n v="13"/>
    <x v="0"/>
  </r>
  <r>
    <n v="216"/>
    <s v="C"/>
    <s v="New York"/>
    <s v="Member"/>
    <s v="Female"/>
    <s v="Shampoo"/>
    <s v="Personal Care"/>
    <n v="18.350000000000001"/>
    <n v="2"/>
    <n v="2.57"/>
    <n v="39.270000000000003"/>
    <n v="3"/>
    <x v="0"/>
  </r>
  <r>
    <n v="217"/>
    <s v="C"/>
    <s v="New York"/>
    <s v="Normal"/>
    <s v="Female"/>
    <s v="Orange Juice"/>
    <s v="Beverages"/>
    <n v="7.09"/>
    <n v="16"/>
    <n v="7.94"/>
    <n v="121.38"/>
    <n v="0"/>
    <x v="0"/>
  </r>
  <r>
    <n v="218"/>
    <s v="A"/>
    <s v="Chicago"/>
    <s v="Member"/>
    <s v="Male"/>
    <s v="Detergent"/>
    <s v="Household"/>
    <n v="19.96"/>
    <n v="9"/>
    <n v="12.57"/>
    <n v="192.21"/>
    <n v="19"/>
    <x v="0"/>
  </r>
  <r>
    <n v="219"/>
    <s v="B"/>
    <s v="Los Angeles"/>
    <s v="Normal"/>
    <s v="Male"/>
    <s v="Shampoo"/>
    <s v="Personal Care"/>
    <n v="3.01"/>
    <n v="16"/>
    <n v="3.37"/>
    <n v="51.53"/>
    <n v="0"/>
    <x v="0"/>
  </r>
  <r>
    <n v="220"/>
    <s v="C"/>
    <s v="New York"/>
    <s v="Member"/>
    <s v="Male"/>
    <s v="Detergent"/>
    <s v="Household"/>
    <n v="4.8"/>
    <n v="13"/>
    <n v="4.37"/>
    <n v="66.77"/>
    <n v="6"/>
    <x v="0"/>
  </r>
  <r>
    <n v="221"/>
    <s v="B"/>
    <s v="Los Angeles"/>
    <s v="Normal"/>
    <s v="Female"/>
    <s v="Orange Juice"/>
    <s v="Beverages"/>
    <n v="5.86"/>
    <n v="17"/>
    <n v="6.97"/>
    <n v="106.59"/>
    <n v="0"/>
    <x v="0"/>
  </r>
  <r>
    <n v="222"/>
    <s v="B"/>
    <s v="Los Angeles"/>
    <s v="Member"/>
    <s v="Female"/>
    <s v="Orange Juice"/>
    <s v="Beverages"/>
    <n v="17.55"/>
    <n v="19"/>
    <n v="23.34"/>
    <n v="356.79"/>
    <n v="35"/>
    <x v="0"/>
  </r>
  <r>
    <n v="223"/>
    <s v="C"/>
    <s v="New York"/>
    <s v="Member"/>
    <s v="Male"/>
    <s v="Shampoo"/>
    <s v="Personal Care"/>
    <n v="14.47"/>
    <n v="5"/>
    <n v="5.0599999999999996"/>
    <n v="77.41"/>
    <n v="7"/>
    <x v="0"/>
  </r>
  <r>
    <n v="224"/>
    <s v="A"/>
    <s v="Chicago"/>
    <s v="Member"/>
    <s v="Female"/>
    <s v="Orange Juice"/>
    <s v="Beverages"/>
    <n v="7.91"/>
    <n v="14"/>
    <n v="7.75"/>
    <n v="118.49"/>
    <n v="11"/>
    <x v="0"/>
  </r>
  <r>
    <n v="225"/>
    <s v="A"/>
    <s v="Chicago"/>
    <s v="Member"/>
    <s v="Male"/>
    <s v="Apple"/>
    <s v="Fruits"/>
    <n v="5.1100000000000003"/>
    <n v="19"/>
    <n v="6.8"/>
    <n v="103.89"/>
    <n v="10"/>
    <x v="0"/>
  </r>
  <r>
    <n v="226"/>
    <s v="A"/>
    <s v="Chicago"/>
    <s v="Member"/>
    <s v="Male"/>
    <s v="Shampoo"/>
    <s v="Personal Care"/>
    <n v="17.62"/>
    <n v="16"/>
    <n v="19.73"/>
    <n v="301.64999999999998"/>
    <n v="30"/>
    <x v="0"/>
  </r>
  <r>
    <n v="227"/>
    <s v="C"/>
    <s v="New York"/>
    <s v="Member"/>
    <s v="Male"/>
    <s v="Shampoo"/>
    <s v="Personal Care"/>
    <n v="12.79"/>
    <n v="3"/>
    <n v="2.69"/>
    <n v="41.06"/>
    <n v="4"/>
    <x v="0"/>
  </r>
  <r>
    <n v="228"/>
    <s v="C"/>
    <s v="New York"/>
    <s v="Normal"/>
    <s v="Male"/>
    <s v="Apple"/>
    <s v="Fruits"/>
    <n v="9.59"/>
    <n v="1"/>
    <n v="0.67"/>
    <n v="10.26"/>
    <n v="0"/>
    <x v="0"/>
  </r>
  <r>
    <n v="229"/>
    <s v="C"/>
    <s v="New York"/>
    <s v="Normal"/>
    <s v="Female"/>
    <s v="Notebook"/>
    <s v="Stationery"/>
    <n v="2.58"/>
    <n v="14"/>
    <n v="2.5299999999999998"/>
    <n v="38.65"/>
    <n v="0"/>
    <x v="0"/>
  </r>
  <r>
    <n v="230"/>
    <s v="C"/>
    <s v="New York"/>
    <s v="Normal"/>
    <s v="Male"/>
    <s v="Shampoo"/>
    <s v="Personal Care"/>
    <n v="15.08"/>
    <n v="12"/>
    <n v="12.67"/>
    <n v="193.63"/>
    <n v="0"/>
    <x v="0"/>
  </r>
  <r>
    <n v="231"/>
    <s v="C"/>
    <s v="New York"/>
    <s v="Member"/>
    <s v="Male"/>
    <s v="Shampoo"/>
    <s v="Personal Care"/>
    <n v="10.4"/>
    <n v="1"/>
    <n v="0.73"/>
    <n v="11.13"/>
    <n v="1"/>
    <x v="0"/>
  </r>
  <r>
    <n v="232"/>
    <s v="A"/>
    <s v="Chicago"/>
    <s v="Normal"/>
    <s v="Male"/>
    <s v="Shampoo"/>
    <s v="Personal Care"/>
    <n v="1.07"/>
    <n v="4"/>
    <n v="0.3"/>
    <n v="4.58"/>
    <n v="0"/>
    <x v="0"/>
  </r>
  <r>
    <n v="233"/>
    <s v="C"/>
    <s v="New York"/>
    <s v="Normal"/>
    <s v="Male"/>
    <s v="Shampoo"/>
    <s v="Personal Care"/>
    <n v="2.83"/>
    <n v="6"/>
    <n v="1.19"/>
    <n v="18.170000000000002"/>
    <n v="0"/>
    <x v="0"/>
  </r>
  <r>
    <n v="234"/>
    <s v="A"/>
    <s v="Chicago"/>
    <s v="Member"/>
    <s v="Male"/>
    <s v="Notebook"/>
    <s v="Stationery"/>
    <n v="4.63"/>
    <n v="5"/>
    <n v="1.62"/>
    <n v="24.77"/>
    <n v="2"/>
    <x v="0"/>
  </r>
  <r>
    <n v="235"/>
    <s v="C"/>
    <s v="New York"/>
    <s v="Normal"/>
    <s v="Female"/>
    <s v="Apple"/>
    <s v="Fruits"/>
    <n v="12.78"/>
    <n v="2"/>
    <n v="1.79"/>
    <n v="27.35"/>
    <n v="0"/>
    <x v="0"/>
  </r>
  <r>
    <n v="236"/>
    <s v="A"/>
    <s v="Chicago"/>
    <s v="Member"/>
    <s v="Male"/>
    <s v="Apple"/>
    <s v="Fruits"/>
    <n v="11.56"/>
    <n v="16"/>
    <n v="12.95"/>
    <n v="197.91"/>
    <n v="19"/>
    <x v="0"/>
  </r>
  <r>
    <n v="237"/>
    <s v="B"/>
    <s v="Los Angeles"/>
    <s v="Normal"/>
    <s v="Female"/>
    <s v="Detergent"/>
    <s v="Household"/>
    <n v="18.100000000000001"/>
    <n v="8"/>
    <n v="10.14"/>
    <n v="154.94"/>
    <n v="0"/>
    <x v="0"/>
  </r>
  <r>
    <n v="238"/>
    <s v="C"/>
    <s v="New York"/>
    <s v="Member"/>
    <s v="Male"/>
    <s v="Shampoo"/>
    <s v="Personal Care"/>
    <n v="7.6"/>
    <n v="1"/>
    <n v="0.53"/>
    <n v="8.1300000000000008"/>
    <n v="0"/>
    <x v="0"/>
  </r>
  <r>
    <n v="239"/>
    <s v="A"/>
    <s v="Chicago"/>
    <s v="Member"/>
    <s v="Male"/>
    <s v="Shampoo"/>
    <s v="Personal Care"/>
    <n v="19.850000000000001"/>
    <n v="15"/>
    <n v="20.84"/>
    <n v="318.58999999999997"/>
    <n v="31"/>
    <x v="0"/>
  </r>
  <r>
    <n v="240"/>
    <s v="B"/>
    <s v="Los Angeles"/>
    <s v="Normal"/>
    <s v="Male"/>
    <s v="Shampoo"/>
    <s v="Personal Care"/>
    <n v="10.77"/>
    <n v="16"/>
    <n v="12.06"/>
    <n v="184.38"/>
    <n v="0"/>
    <x v="0"/>
  </r>
  <r>
    <n v="241"/>
    <s v="B"/>
    <s v="Los Angeles"/>
    <s v="Normal"/>
    <s v="Male"/>
    <s v="Shampoo"/>
    <s v="Personal Care"/>
    <n v="3.61"/>
    <n v="10"/>
    <n v="2.5299999999999998"/>
    <n v="38.630000000000003"/>
    <n v="0"/>
    <x v="0"/>
  </r>
  <r>
    <n v="242"/>
    <s v="C"/>
    <s v="New York"/>
    <s v="Normal"/>
    <s v="Female"/>
    <s v="Shampoo"/>
    <s v="Personal Care"/>
    <n v="6.77"/>
    <n v="13"/>
    <n v="6.16"/>
    <n v="94.17"/>
    <n v="0"/>
    <x v="0"/>
  </r>
  <r>
    <n v="243"/>
    <s v="A"/>
    <s v="Chicago"/>
    <s v="Normal"/>
    <s v="Female"/>
    <s v="Shampoo"/>
    <s v="Personal Care"/>
    <n v="10.220000000000001"/>
    <n v="6"/>
    <n v="4.29"/>
    <n v="65.61"/>
    <n v="0"/>
    <x v="0"/>
  </r>
  <r>
    <n v="244"/>
    <s v="B"/>
    <s v="Los Angeles"/>
    <s v="Normal"/>
    <s v="Female"/>
    <s v="Apple"/>
    <s v="Fruits"/>
    <n v="12.47"/>
    <n v="15"/>
    <n v="13.09"/>
    <n v="200.14"/>
    <n v="0"/>
    <x v="0"/>
  </r>
  <r>
    <n v="245"/>
    <s v="A"/>
    <s v="Chicago"/>
    <s v="Normal"/>
    <s v="Male"/>
    <s v="Shampoo"/>
    <s v="Personal Care"/>
    <n v="15.54"/>
    <n v="16"/>
    <n v="17.399999999999999"/>
    <n v="266.04000000000002"/>
    <n v="0"/>
    <x v="0"/>
  </r>
  <r>
    <n v="246"/>
    <s v="C"/>
    <s v="New York"/>
    <s v="Member"/>
    <s v="Female"/>
    <s v="Notebook"/>
    <s v="Stationery"/>
    <n v="18.3"/>
    <n v="9"/>
    <n v="11.53"/>
    <n v="176.23"/>
    <n v="17"/>
    <x v="0"/>
  </r>
  <r>
    <n v="247"/>
    <s v="A"/>
    <s v="Chicago"/>
    <s v="Normal"/>
    <s v="Male"/>
    <s v="Detergent"/>
    <s v="Household"/>
    <n v="8.81"/>
    <n v="3"/>
    <n v="1.85"/>
    <n v="28.28"/>
    <n v="0"/>
    <x v="0"/>
  </r>
  <r>
    <n v="248"/>
    <s v="C"/>
    <s v="New York"/>
    <s v="Member"/>
    <s v="Male"/>
    <s v="Apple"/>
    <s v="Fruits"/>
    <n v="13.53"/>
    <n v="17"/>
    <n v="16.100000000000001"/>
    <n v="246.11"/>
    <n v="24"/>
    <x v="0"/>
  </r>
  <r>
    <n v="249"/>
    <s v="C"/>
    <s v="New York"/>
    <s v="Normal"/>
    <s v="Female"/>
    <s v="Detergent"/>
    <s v="Household"/>
    <n v="9.61"/>
    <n v="19"/>
    <n v="12.78"/>
    <n v="195.37"/>
    <n v="0"/>
    <x v="0"/>
  </r>
  <r>
    <n v="250"/>
    <s v="B"/>
    <s v="Los Angeles"/>
    <s v="Member"/>
    <s v="Female"/>
    <s v="Apple"/>
    <s v="Fruits"/>
    <n v="10.17"/>
    <n v="18"/>
    <n v="12.81"/>
    <n v="195.87"/>
    <n v="19"/>
    <x v="0"/>
  </r>
  <r>
    <n v="251"/>
    <s v="A"/>
    <s v="Chicago"/>
    <s v="Member"/>
    <s v="Female"/>
    <s v="Notebook"/>
    <s v="Stationery"/>
    <n v="15.34"/>
    <n v="8"/>
    <n v="8.59"/>
    <n v="131.31"/>
    <n v="13"/>
    <x v="0"/>
  </r>
  <r>
    <n v="252"/>
    <s v="B"/>
    <s v="Los Angeles"/>
    <s v="Member"/>
    <s v="Female"/>
    <s v="Apple"/>
    <s v="Fruits"/>
    <n v="19.5"/>
    <n v="13"/>
    <n v="17.75"/>
    <n v="271.25"/>
    <n v="27"/>
    <x v="0"/>
  </r>
  <r>
    <n v="253"/>
    <s v="C"/>
    <s v="New York"/>
    <s v="Member"/>
    <s v="Male"/>
    <s v="Orange Juice"/>
    <s v="Beverages"/>
    <n v="20.81"/>
    <n v="5"/>
    <n v="7.28"/>
    <n v="111.33"/>
    <n v="11"/>
    <x v="0"/>
  </r>
  <r>
    <n v="254"/>
    <s v="A"/>
    <s v="Chicago"/>
    <s v="Normal"/>
    <s v="Female"/>
    <s v="Orange Juice"/>
    <s v="Beverages"/>
    <n v="20.25"/>
    <n v="4"/>
    <n v="5.67"/>
    <n v="86.67"/>
    <n v="0"/>
    <x v="0"/>
  </r>
  <r>
    <n v="255"/>
    <s v="B"/>
    <s v="Los Angeles"/>
    <s v="Normal"/>
    <s v="Male"/>
    <s v="Apple"/>
    <s v="Fruits"/>
    <n v="4.37"/>
    <n v="4"/>
    <n v="1.22"/>
    <n v="18.7"/>
    <n v="0"/>
    <x v="0"/>
  </r>
  <r>
    <n v="256"/>
    <s v="B"/>
    <s v="Los Angeles"/>
    <s v="Normal"/>
    <s v="Male"/>
    <s v="Apple"/>
    <s v="Fruits"/>
    <n v="17.95"/>
    <n v="12"/>
    <n v="15.08"/>
    <n v="230.48"/>
    <n v="0"/>
    <x v="0"/>
  </r>
  <r>
    <n v="257"/>
    <s v="C"/>
    <s v="New York"/>
    <s v="Member"/>
    <s v="Male"/>
    <s v="Apple"/>
    <s v="Fruits"/>
    <n v="3.32"/>
    <n v="7"/>
    <n v="1.63"/>
    <n v="24.87"/>
    <n v="2"/>
    <x v="0"/>
  </r>
  <r>
    <n v="258"/>
    <s v="A"/>
    <s v="Chicago"/>
    <s v="Member"/>
    <s v="Female"/>
    <s v="Apple"/>
    <s v="Fruits"/>
    <n v="18.14"/>
    <n v="19"/>
    <n v="24.13"/>
    <n v="368.79"/>
    <n v="36"/>
    <x v="0"/>
  </r>
  <r>
    <n v="259"/>
    <s v="A"/>
    <s v="Chicago"/>
    <s v="Member"/>
    <s v="Male"/>
    <s v="Shampoo"/>
    <s v="Personal Care"/>
    <n v="6.62"/>
    <n v="8"/>
    <n v="3.71"/>
    <n v="56.67"/>
    <n v="5"/>
    <x v="0"/>
  </r>
  <r>
    <n v="260"/>
    <s v="B"/>
    <s v="Los Angeles"/>
    <s v="Member"/>
    <s v="Female"/>
    <s v="Shampoo"/>
    <s v="Personal Care"/>
    <n v="14.94"/>
    <n v="10"/>
    <n v="10.46"/>
    <n v="159.86000000000001"/>
    <n v="15"/>
    <x v="0"/>
  </r>
  <r>
    <n v="261"/>
    <s v="B"/>
    <s v="Los Angeles"/>
    <s v="Member"/>
    <s v="Male"/>
    <s v="Notebook"/>
    <s v="Stationery"/>
    <n v="20.02"/>
    <n v="19"/>
    <n v="26.63"/>
    <n v="407.01"/>
    <n v="40"/>
    <x v="1"/>
  </r>
  <r>
    <n v="262"/>
    <s v="C"/>
    <s v="New York"/>
    <s v="Normal"/>
    <s v="Male"/>
    <s v="Shampoo"/>
    <s v="Personal Care"/>
    <n v="17.649999999999999"/>
    <n v="5"/>
    <n v="6.18"/>
    <n v="94.43"/>
    <n v="0"/>
    <x v="0"/>
  </r>
  <r>
    <n v="263"/>
    <s v="C"/>
    <s v="New York"/>
    <s v="Normal"/>
    <s v="Female"/>
    <s v="Detergent"/>
    <s v="Household"/>
    <n v="11.67"/>
    <n v="11"/>
    <n v="8.99"/>
    <n v="137.36000000000001"/>
    <n v="0"/>
    <x v="0"/>
  </r>
  <r>
    <n v="264"/>
    <s v="B"/>
    <s v="Los Angeles"/>
    <s v="Member"/>
    <s v="Male"/>
    <s v="Shampoo"/>
    <s v="Personal Care"/>
    <n v="17.100000000000001"/>
    <n v="1"/>
    <n v="1.2"/>
    <n v="18.3"/>
    <n v="1"/>
    <x v="0"/>
  </r>
  <r>
    <n v="265"/>
    <s v="B"/>
    <s v="Los Angeles"/>
    <s v="Member"/>
    <s v="Female"/>
    <s v="Detergent"/>
    <s v="Household"/>
    <n v="2.39"/>
    <n v="10"/>
    <n v="1.67"/>
    <n v="25.57"/>
    <n v="2"/>
    <x v="0"/>
  </r>
  <r>
    <n v="266"/>
    <s v="B"/>
    <s v="Los Angeles"/>
    <s v="Member"/>
    <s v="Female"/>
    <s v="Shampoo"/>
    <s v="Personal Care"/>
    <n v="2.14"/>
    <n v="13"/>
    <n v="1.95"/>
    <n v="29.77"/>
    <n v="2"/>
    <x v="0"/>
  </r>
  <r>
    <n v="267"/>
    <s v="B"/>
    <s v="Los Angeles"/>
    <s v="Member"/>
    <s v="Male"/>
    <s v="Notebook"/>
    <s v="Stationery"/>
    <n v="6.41"/>
    <n v="7"/>
    <n v="3.14"/>
    <n v="48.01"/>
    <n v="4"/>
    <x v="0"/>
  </r>
  <r>
    <n v="268"/>
    <s v="B"/>
    <s v="Los Angeles"/>
    <s v="Normal"/>
    <s v="Male"/>
    <s v="Orange Juice"/>
    <s v="Beverages"/>
    <n v="5.94"/>
    <n v="13"/>
    <n v="5.41"/>
    <n v="82.63"/>
    <n v="0"/>
    <x v="0"/>
  </r>
  <r>
    <n v="269"/>
    <s v="B"/>
    <s v="Los Angeles"/>
    <s v="Member"/>
    <s v="Male"/>
    <s v="Orange Juice"/>
    <s v="Beverages"/>
    <n v="17.329999999999998"/>
    <n v="17"/>
    <n v="20.62"/>
    <n v="315.23"/>
    <n v="31"/>
    <x v="0"/>
  </r>
  <r>
    <n v="270"/>
    <s v="A"/>
    <s v="Chicago"/>
    <s v="Normal"/>
    <s v="Female"/>
    <s v="Notebook"/>
    <s v="Stationery"/>
    <n v="16.05"/>
    <n v="18"/>
    <n v="20.22"/>
    <n v="309.12"/>
    <n v="0"/>
    <x v="0"/>
  </r>
  <r>
    <n v="271"/>
    <s v="A"/>
    <s v="Chicago"/>
    <s v="Normal"/>
    <s v="Male"/>
    <s v="Orange Juice"/>
    <s v="Beverages"/>
    <n v="17.89"/>
    <n v="1"/>
    <n v="1.25"/>
    <n v="19.14"/>
    <n v="0"/>
    <x v="0"/>
  </r>
  <r>
    <n v="272"/>
    <s v="C"/>
    <s v="New York"/>
    <s v="Member"/>
    <s v="Female"/>
    <s v="Detergent"/>
    <s v="Household"/>
    <n v="14.76"/>
    <n v="12"/>
    <n v="12.4"/>
    <n v="189.52"/>
    <n v="18"/>
    <x v="0"/>
  </r>
  <r>
    <n v="273"/>
    <s v="C"/>
    <s v="New York"/>
    <s v="Normal"/>
    <s v="Male"/>
    <s v="Notebook"/>
    <s v="Stationery"/>
    <n v="5"/>
    <n v="9"/>
    <n v="3.15"/>
    <n v="48.15"/>
    <n v="0"/>
    <x v="0"/>
  </r>
  <r>
    <n v="274"/>
    <s v="C"/>
    <s v="New York"/>
    <s v="Member"/>
    <s v="Male"/>
    <s v="Orange Juice"/>
    <s v="Beverages"/>
    <n v="6.42"/>
    <n v="5"/>
    <n v="2.25"/>
    <n v="34.35"/>
    <n v="3"/>
    <x v="0"/>
  </r>
  <r>
    <n v="275"/>
    <s v="B"/>
    <s v="Los Angeles"/>
    <s v="Member"/>
    <s v="Male"/>
    <s v="Notebook"/>
    <s v="Stationery"/>
    <n v="6.37"/>
    <n v="17"/>
    <n v="7.58"/>
    <n v="115.87"/>
    <n v="11"/>
    <x v="0"/>
  </r>
  <r>
    <n v="276"/>
    <s v="B"/>
    <s v="Los Angeles"/>
    <s v="Normal"/>
    <s v="Male"/>
    <s v="Detergent"/>
    <s v="Household"/>
    <n v="6.74"/>
    <n v="16"/>
    <n v="7.55"/>
    <n v="115.39"/>
    <n v="0"/>
    <x v="0"/>
  </r>
  <r>
    <n v="277"/>
    <s v="C"/>
    <s v="New York"/>
    <s v="Normal"/>
    <s v="Female"/>
    <s v="Apple"/>
    <s v="Fruits"/>
    <n v="15.7"/>
    <n v="12"/>
    <n v="13.19"/>
    <n v="201.59"/>
    <n v="0"/>
    <x v="0"/>
  </r>
  <r>
    <n v="278"/>
    <s v="B"/>
    <s v="Los Angeles"/>
    <s v="Member"/>
    <s v="Male"/>
    <s v="Detergent"/>
    <s v="Household"/>
    <n v="19.93"/>
    <n v="8"/>
    <n v="11.16"/>
    <n v="170.6"/>
    <n v="17"/>
    <x v="0"/>
  </r>
  <r>
    <n v="279"/>
    <s v="B"/>
    <s v="Los Angeles"/>
    <s v="Normal"/>
    <s v="Male"/>
    <s v="Notebook"/>
    <s v="Stationery"/>
    <n v="2.4"/>
    <n v="17"/>
    <n v="2.86"/>
    <n v="43.66"/>
    <n v="0"/>
    <x v="0"/>
  </r>
  <r>
    <n v="280"/>
    <s v="B"/>
    <s v="Los Angeles"/>
    <s v="Normal"/>
    <s v="Female"/>
    <s v="Shampoo"/>
    <s v="Personal Care"/>
    <n v="1.94"/>
    <n v="6"/>
    <n v="0.81"/>
    <n v="12.45"/>
    <n v="0"/>
    <x v="0"/>
  </r>
  <r>
    <n v="281"/>
    <s v="B"/>
    <s v="Los Angeles"/>
    <s v="Member"/>
    <s v="Male"/>
    <s v="Shampoo"/>
    <s v="Personal Care"/>
    <n v="4.3099999999999996"/>
    <n v="6"/>
    <n v="1.81"/>
    <n v="27.67"/>
    <n v="2"/>
    <x v="0"/>
  </r>
  <r>
    <n v="282"/>
    <s v="C"/>
    <s v="New York"/>
    <s v="Member"/>
    <s v="Female"/>
    <s v="Detergent"/>
    <s v="Household"/>
    <n v="15.53"/>
    <n v="1"/>
    <n v="1.0900000000000001"/>
    <n v="16.62"/>
    <n v="1"/>
    <x v="0"/>
  </r>
  <r>
    <n v="283"/>
    <s v="A"/>
    <s v="Chicago"/>
    <s v="Normal"/>
    <s v="Female"/>
    <s v="Detergent"/>
    <s v="Household"/>
    <n v="18.010000000000002"/>
    <n v="4"/>
    <n v="5.04"/>
    <n v="77.08"/>
    <n v="0"/>
    <x v="0"/>
  </r>
  <r>
    <n v="284"/>
    <s v="B"/>
    <s v="Los Angeles"/>
    <s v="Member"/>
    <s v="Male"/>
    <s v="Shampoo"/>
    <s v="Personal Care"/>
    <n v="7.79"/>
    <n v="10"/>
    <n v="5.45"/>
    <n v="83.35"/>
    <n v="8"/>
    <x v="0"/>
  </r>
  <r>
    <n v="285"/>
    <s v="B"/>
    <s v="Los Angeles"/>
    <s v="Member"/>
    <s v="Male"/>
    <s v="Orange Juice"/>
    <s v="Beverages"/>
    <n v="1.5"/>
    <n v="4"/>
    <n v="0.42"/>
    <n v="6.42"/>
    <n v="0"/>
    <x v="0"/>
  </r>
  <r>
    <n v="286"/>
    <s v="A"/>
    <s v="Chicago"/>
    <s v="Normal"/>
    <s v="Male"/>
    <s v="Detergent"/>
    <s v="Household"/>
    <n v="1.45"/>
    <n v="11"/>
    <n v="1.1200000000000001"/>
    <n v="17.07"/>
    <n v="0"/>
    <x v="0"/>
  </r>
  <r>
    <n v="287"/>
    <s v="A"/>
    <s v="Chicago"/>
    <s v="Normal"/>
    <s v="Female"/>
    <s v="Apple"/>
    <s v="Fruits"/>
    <n v="8.8000000000000007"/>
    <n v="6"/>
    <n v="3.7"/>
    <n v="56.5"/>
    <n v="0"/>
    <x v="0"/>
  </r>
  <r>
    <n v="288"/>
    <s v="C"/>
    <s v="New York"/>
    <s v="Normal"/>
    <s v="Female"/>
    <s v="Detergent"/>
    <s v="Household"/>
    <n v="1.92"/>
    <n v="19"/>
    <n v="2.5499999999999998"/>
    <n v="39.03"/>
    <n v="0"/>
    <x v="0"/>
  </r>
  <r>
    <n v="289"/>
    <s v="B"/>
    <s v="Los Angeles"/>
    <s v="Normal"/>
    <s v="Female"/>
    <s v="Detergent"/>
    <s v="Household"/>
    <n v="20.43"/>
    <n v="8"/>
    <n v="11.44"/>
    <n v="174.88"/>
    <n v="0"/>
    <x v="0"/>
  </r>
  <r>
    <n v="290"/>
    <s v="C"/>
    <s v="New York"/>
    <s v="Normal"/>
    <s v="Female"/>
    <s v="Shampoo"/>
    <s v="Personal Care"/>
    <n v="18.239999999999998"/>
    <n v="6"/>
    <n v="7.66"/>
    <n v="117.1"/>
    <n v="0"/>
    <x v="0"/>
  </r>
  <r>
    <n v="291"/>
    <s v="A"/>
    <s v="Chicago"/>
    <s v="Member"/>
    <s v="Female"/>
    <s v="Detergent"/>
    <s v="Household"/>
    <n v="2.16"/>
    <n v="18"/>
    <n v="2.72"/>
    <n v="41.6"/>
    <n v="4"/>
    <x v="0"/>
  </r>
  <r>
    <n v="292"/>
    <s v="C"/>
    <s v="New York"/>
    <s v="Member"/>
    <s v="Female"/>
    <s v="Notebook"/>
    <s v="Stationery"/>
    <n v="8.74"/>
    <n v="16"/>
    <n v="9.7899999999999991"/>
    <n v="149.63"/>
    <n v="14"/>
    <x v="0"/>
  </r>
  <r>
    <n v="293"/>
    <s v="C"/>
    <s v="New York"/>
    <s v="Member"/>
    <s v="Female"/>
    <s v="Apple"/>
    <s v="Fruits"/>
    <n v="18.32"/>
    <n v="9"/>
    <n v="11.54"/>
    <n v="176.42"/>
    <n v="17"/>
    <x v="0"/>
  </r>
  <r>
    <n v="294"/>
    <s v="B"/>
    <s v="Los Angeles"/>
    <s v="Normal"/>
    <s v="Male"/>
    <s v="Shampoo"/>
    <s v="Personal Care"/>
    <n v="3.79"/>
    <n v="19"/>
    <n v="5.04"/>
    <n v="77.05"/>
    <n v="0"/>
    <x v="0"/>
  </r>
  <r>
    <n v="295"/>
    <s v="B"/>
    <s v="Los Angeles"/>
    <s v="Member"/>
    <s v="Male"/>
    <s v="Orange Juice"/>
    <s v="Beverages"/>
    <n v="12.24"/>
    <n v="2"/>
    <n v="1.71"/>
    <n v="26.19"/>
    <n v="2"/>
    <x v="0"/>
  </r>
  <r>
    <n v="296"/>
    <s v="C"/>
    <s v="New York"/>
    <s v="Normal"/>
    <s v="Male"/>
    <s v="Detergent"/>
    <s v="Household"/>
    <n v="1.76"/>
    <n v="5"/>
    <n v="0.62"/>
    <n v="9.42"/>
    <n v="0"/>
    <x v="0"/>
  </r>
  <r>
    <n v="297"/>
    <s v="B"/>
    <s v="Los Angeles"/>
    <s v="Member"/>
    <s v="Male"/>
    <s v="Orange Juice"/>
    <s v="Beverages"/>
    <n v="13.6"/>
    <n v="7"/>
    <n v="6.66"/>
    <n v="101.86"/>
    <n v="10"/>
    <x v="0"/>
  </r>
  <r>
    <n v="298"/>
    <s v="C"/>
    <s v="New York"/>
    <s v="Member"/>
    <s v="Female"/>
    <s v="Detergent"/>
    <s v="Household"/>
    <n v="11.97"/>
    <n v="7"/>
    <n v="5.87"/>
    <n v="89.66"/>
    <n v="8"/>
    <x v="0"/>
  </r>
  <r>
    <n v="299"/>
    <s v="A"/>
    <s v="Chicago"/>
    <s v="Normal"/>
    <s v="Female"/>
    <s v="Orange Juice"/>
    <s v="Beverages"/>
    <n v="13.49"/>
    <n v="15"/>
    <n v="14.16"/>
    <n v="216.51"/>
    <n v="0"/>
    <x v="0"/>
  </r>
  <r>
    <n v="300"/>
    <s v="C"/>
    <s v="New York"/>
    <s v="Normal"/>
    <s v="Male"/>
    <s v="Apple"/>
    <s v="Fruits"/>
    <n v="9.85"/>
    <n v="12"/>
    <n v="8.27"/>
    <n v="126.47"/>
    <n v="0"/>
    <x v="0"/>
  </r>
  <r>
    <n v="301"/>
    <s v="C"/>
    <s v="New York"/>
    <s v="Member"/>
    <s v="Male"/>
    <s v="Shampoo"/>
    <s v="Personal Care"/>
    <n v="13.68"/>
    <n v="7"/>
    <n v="6.7"/>
    <n v="102.46"/>
    <n v="10"/>
    <x v="0"/>
  </r>
  <r>
    <n v="302"/>
    <s v="A"/>
    <s v="Chicago"/>
    <s v="Normal"/>
    <s v="Male"/>
    <s v="Notebook"/>
    <s v="Stationery"/>
    <n v="14.79"/>
    <n v="18"/>
    <n v="18.64"/>
    <n v="284.86"/>
    <n v="0"/>
    <x v="0"/>
  </r>
  <r>
    <n v="303"/>
    <s v="A"/>
    <s v="Chicago"/>
    <s v="Member"/>
    <s v="Female"/>
    <s v="Orange Juice"/>
    <s v="Beverages"/>
    <n v="9.74"/>
    <n v="17"/>
    <n v="11.59"/>
    <n v="177.17"/>
    <n v="17"/>
    <x v="0"/>
  </r>
  <r>
    <n v="304"/>
    <s v="C"/>
    <s v="New York"/>
    <s v="Normal"/>
    <s v="Male"/>
    <s v="Shampoo"/>
    <s v="Personal Care"/>
    <n v="6.94"/>
    <n v="14"/>
    <n v="6.8"/>
    <n v="103.96"/>
    <n v="0"/>
    <x v="0"/>
  </r>
  <r>
    <n v="305"/>
    <s v="A"/>
    <s v="Chicago"/>
    <s v="Member"/>
    <s v="Female"/>
    <s v="Apple"/>
    <s v="Fruits"/>
    <n v="2.78"/>
    <n v="2"/>
    <n v="0.39"/>
    <n v="5.95"/>
    <n v="0"/>
    <x v="0"/>
  </r>
  <r>
    <n v="306"/>
    <s v="A"/>
    <s v="Chicago"/>
    <s v="Member"/>
    <s v="Male"/>
    <s v="Apple"/>
    <s v="Fruits"/>
    <n v="17.579999999999998"/>
    <n v="1"/>
    <n v="1.23"/>
    <n v="18.809999999999999"/>
    <n v="1"/>
    <x v="0"/>
  </r>
  <r>
    <n v="307"/>
    <s v="B"/>
    <s v="Los Angeles"/>
    <s v="Normal"/>
    <s v="Female"/>
    <s v="Detergent"/>
    <s v="Household"/>
    <n v="14.2"/>
    <n v="1"/>
    <n v="0.99"/>
    <n v="15.19"/>
    <n v="0"/>
    <x v="0"/>
  </r>
  <r>
    <n v="308"/>
    <s v="B"/>
    <s v="Los Angeles"/>
    <s v="Member"/>
    <s v="Male"/>
    <s v="Detergent"/>
    <s v="Household"/>
    <n v="8.26"/>
    <n v="4"/>
    <n v="2.31"/>
    <n v="35.35"/>
    <n v="3"/>
    <x v="0"/>
  </r>
  <r>
    <n v="309"/>
    <s v="C"/>
    <s v="New York"/>
    <s v="Member"/>
    <s v="Male"/>
    <s v="Orange Juice"/>
    <s v="Beverages"/>
    <n v="8.6199999999999992"/>
    <n v="1"/>
    <n v="0.6"/>
    <n v="9.2200000000000006"/>
    <n v="0"/>
    <x v="0"/>
  </r>
  <r>
    <n v="310"/>
    <s v="A"/>
    <s v="Chicago"/>
    <s v="Member"/>
    <s v="Male"/>
    <s v="Orange Juice"/>
    <s v="Beverages"/>
    <n v="8.02"/>
    <n v="17"/>
    <n v="9.5399999999999991"/>
    <n v="145.88"/>
    <n v="14"/>
    <x v="0"/>
  </r>
  <r>
    <n v="311"/>
    <s v="A"/>
    <s v="Chicago"/>
    <s v="Member"/>
    <s v="Female"/>
    <s v="Apple"/>
    <s v="Fruits"/>
    <n v="20.18"/>
    <n v="5"/>
    <n v="7.06"/>
    <n v="107.96"/>
    <n v="10"/>
    <x v="0"/>
  </r>
  <r>
    <n v="312"/>
    <s v="B"/>
    <s v="Los Angeles"/>
    <s v="Member"/>
    <s v="Female"/>
    <s v="Detergent"/>
    <s v="Household"/>
    <n v="9.8699999999999992"/>
    <n v="4"/>
    <n v="2.76"/>
    <n v="42.24"/>
    <n v="4"/>
    <x v="0"/>
  </r>
  <r>
    <n v="313"/>
    <s v="B"/>
    <s v="Los Angeles"/>
    <s v="Normal"/>
    <s v="Female"/>
    <s v="Detergent"/>
    <s v="Household"/>
    <n v="5.37"/>
    <n v="13"/>
    <n v="4.8899999999999997"/>
    <n v="74.7"/>
    <n v="0"/>
    <x v="0"/>
  </r>
  <r>
    <n v="314"/>
    <s v="B"/>
    <s v="Los Angeles"/>
    <s v="Normal"/>
    <s v="Female"/>
    <s v="Notebook"/>
    <s v="Stationery"/>
    <n v="11.36"/>
    <n v="3"/>
    <n v="2.39"/>
    <n v="36.47"/>
    <n v="0"/>
    <x v="0"/>
  </r>
  <r>
    <n v="315"/>
    <s v="B"/>
    <s v="Los Angeles"/>
    <s v="Member"/>
    <s v="Female"/>
    <s v="Detergent"/>
    <s v="Household"/>
    <n v="1.1000000000000001"/>
    <n v="5"/>
    <n v="0.39"/>
    <n v="5.89"/>
    <n v="0"/>
    <x v="0"/>
  </r>
  <r>
    <n v="316"/>
    <s v="C"/>
    <s v="New York"/>
    <s v="Normal"/>
    <s v="Female"/>
    <s v="Shampoo"/>
    <s v="Personal Care"/>
    <n v="1.0900000000000001"/>
    <n v="4"/>
    <n v="0.31"/>
    <n v="4.67"/>
    <n v="0"/>
    <x v="0"/>
  </r>
  <r>
    <n v="317"/>
    <s v="A"/>
    <s v="Chicago"/>
    <s v="Normal"/>
    <s v="Female"/>
    <s v="Orange Juice"/>
    <s v="Beverages"/>
    <n v="3.07"/>
    <n v="18"/>
    <n v="3.87"/>
    <n v="59.13"/>
    <n v="0"/>
    <x v="0"/>
  </r>
  <r>
    <n v="318"/>
    <s v="A"/>
    <s v="Chicago"/>
    <s v="Normal"/>
    <s v="Female"/>
    <s v="Notebook"/>
    <s v="Stationery"/>
    <n v="16.36"/>
    <n v="16"/>
    <n v="18.32"/>
    <n v="280.08"/>
    <n v="0"/>
    <x v="0"/>
  </r>
  <r>
    <n v="319"/>
    <s v="B"/>
    <s v="Los Angeles"/>
    <s v="Member"/>
    <s v="Female"/>
    <s v="Notebook"/>
    <s v="Stationery"/>
    <n v="15.79"/>
    <n v="8"/>
    <n v="8.84"/>
    <n v="135.16"/>
    <n v="13"/>
    <x v="0"/>
  </r>
  <r>
    <n v="320"/>
    <s v="C"/>
    <s v="New York"/>
    <s v="Normal"/>
    <s v="Male"/>
    <s v="Notebook"/>
    <s v="Stationery"/>
    <n v="16.89"/>
    <n v="20"/>
    <n v="23.65"/>
    <n v="361.45"/>
    <n v="0"/>
    <x v="0"/>
  </r>
  <r>
    <n v="321"/>
    <s v="B"/>
    <s v="Los Angeles"/>
    <s v="Normal"/>
    <s v="Male"/>
    <s v="Notebook"/>
    <s v="Stationery"/>
    <n v="13.46"/>
    <n v="15"/>
    <n v="14.13"/>
    <n v="216.03"/>
    <n v="0"/>
    <x v="0"/>
  </r>
  <r>
    <n v="322"/>
    <s v="A"/>
    <s v="Chicago"/>
    <s v="Member"/>
    <s v="Female"/>
    <s v="Apple"/>
    <s v="Fruits"/>
    <n v="4.3099999999999996"/>
    <n v="16"/>
    <n v="4.83"/>
    <n v="73.790000000000006"/>
    <n v="7"/>
    <x v="0"/>
  </r>
  <r>
    <n v="323"/>
    <s v="B"/>
    <s v="Los Angeles"/>
    <s v="Member"/>
    <s v="Male"/>
    <s v="Orange Juice"/>
    <s v="Beverages"/>
    <n v="19.14"/>
    <n v="5"/>
    <n v="6.7"/>
    <n v="102.4"/>
    <n v="10"/>
    <x v="0"/>
  </r>
  <r>
    <n v="324"/>
    <s v="A"/>
    <s v="Chicago"/>
    <s v="Normal"/>
    <s v="Male"/>
    <s v="Notebook"/>
    <s v="Stationery"/>
    <n v="1.5"/>
    <n v="13"/>
    <n v="1.37"/>
    <n v="20.87"/>
    <n v="0"/>
    <x v="0"/>
  </r>
  <r>
    <n v="325"/>
    <s v="B"/>
    <s v="Los Angeles"/>
    <s v="Member"/>
    <s v="Female"/>
    <s v="Detergent"/>
    <s v="Household"/>
    <n v="18.3"/>
    <n v="19"/>
    <n v="24.34"/>
    <n v="372.04"/>
    <n v="37"/>
    <x v="0"/>
  </r>
  <r>
    <n v="326"/>
    <s v="B"/>
    <s v="Los Angeles"/>
    <s v="Normal"/>
    <s v="Male"/>
    <s v="Apple"/>
    <s v="Fruits"/>
    <n v="5.13"/>
    <n v="14"/>
    <n v="5.03"/>
    <n v="76.849999999999994"/>
    <n v="0"/>
    <x v="0"/>
  </r>
  <r>
    <n v="327"/>
    <s v="B"/>
    <s v="Los Angeles"/>
    <s v="Member"/>
    <s v="Male"/>
    <s v="Shampoo"/>
    <s v="Personal Care"/>
    <n v="4.25"/>
    <n v="11"/>
    <n v="3.27"/>
    <n v="50.02"/>
    <n v="5"/>
    <x v="0"/>
  </r>
  <r>
    <n v="328"/>
    <s v="B"/>
    <s v="Los Angeles"/>
    <s v="Member"/>
    <s v="Male"/>
    <s v="Shampoo"/>
    <s v="Personal Care"/>
    <n v="18.22"/>
    <n v="5"/>
    <n v="6.38"/>
    <n v="97.48"/>
    <n v="9"/>
    <x v="0"/>
  </r>
  <r>
    <n v="329"/>
    <s v="B"/>
    <s v="Los Angeles"/>
    <s v="Normal"/>
    <s v="Female"/>
    <s v="Orange Juice"/>
    <s v="Beverages"/>
    <n v="1.24"/>
    <n v="10"/>
    <n v="0.87"/>
    <n v="13.27"/>
    <n v="0"/>
    <x v="0"/>
  </r>
  <r>
    <n v="330"/>
    <s v="B"/>
    <s v="Los Angeles"/>
    <s v="Normal"/>
    <s v="Female"/>
    <s v="Detergent"/>
    <s v="Household"/>
    <n v="4.9000000000000004"/>
    <n v="12"/>
    <n v="4.12"/>
    <n v="62.92"/>
    <n v="0"/>
    <x v="0"/>
  </r>
  <r>
    <n v="331"/>
    <s v="B"/>
    <s v="Los Angeles"/>
    <s v="Member"/>
    <s v="Female"/>
    <s v="Notebook"/>
    <s v="Stationery"/>
    <n v="12.75"/>
    <n v="3"/>
    <n v="2.68"/>
    <n v="40.93"/>
    <n v="4"/>
    <x v="0"/>
  </r>
  <r>
    <n v="332"/>
    <s v="C"/>
    <s v="New York"/>
    <s v="Member"/>
    <s v="Female"/>
    <s v="Notebook"/>
    <s v="Stationery"/>
    <n v="20.53"/>
    <n v="18"/>
    <n v="25.87"/>
    <n v="395.41"/>
    <n v="39"/>
    <x v="1"/>
  </r>
  <r>
    <n v="333"/>
    <s v="C"/>
    <s v="New York"/>
    <s v="Member"/>
    <s v="Male"/>
    <s v="Apple"/>
    <s v="Fruits"/>
    <n v="19.18"/>
    <n v="4"/>
    <n v="5.37"/>
    <n v="82.09"/>
    <n v="8"/>
    <x v="0"/>
  </r>
  <r>
    <n v="334"/>
    <s v="B"/>
    <s v="Los Angeles"/>
    <s v="Member"/>
    <s v="Male"/>
    <s v="Apple"/>
    <s v="Fruits"/>
    <n v="17.71"/>
    <n v="13"/>
    <n v="16.12"/>
    <n v="246.35"/>
    <n v="24"/>
    <x v="0"/>
  </r>
  <r>
    <n v="335"/>
    <s v="A"/>
    <s v="Chicago"/>
    <s v="Member"/>
    <s v="Female"/>
    <s v="Apple"/>
    <s v="Fruits"/>
    <n v="18.25"/>
    <n v="14"/>
    <n v="17.89"/>
    <n v="273.39"/>
    <n v="27"/>
    <x v="0"/>
  </r>
  <r>
    <n v="336"/>
    <s v="A"/>
    <s v="Chicago"/>
    <s v="Normal"/>
    <s v="Male"/>
    <s v="Shampoo"/>
    <s v="Personal Care"/>
    <n v="9.5"/>
    <n v="12"/>
    <n v="7.98"/>
    <n v="121.98"/>
    <n v="0"/>
    <x v="0"/>
  </r>
  <r>
    <n v="337"/>
    <s v="C"/>
    <s v="New York"/>
    <s v="Member"/>
    <s v="Female"/>
    <s v="Notebook"/>
    <s v="Stationery"/>
    <n v="6.5"/>
    <n v="5"/>
    <n v="2.2799999999999998"/>
    <n v="34.78"/>
    <n v="3"/>
    <x v="0"/>
  </r>
  <r>
    <n v="338"/>
    <s v="B"/>
    <s v="Los Angeles"/>
    <s v="Member"/>
    <s v="Female"/>
    <s v="Detergent"/>
    <s v="Household"/>
    <n v="9.19"/>
    <n v="2"/>
    <n v="1.29"/>
    <n v="19.670000000000002"/>
    <n v="1"/>
    <x v="0"/>
  </r>
  <r>
    <n v="339"/>
    <s v="B"/>
    <s v="Los Angeles"/>
    <s v="Member"/>
    <s v="Male"/>
    <s v="Notebook"/>
    <s v="Stationery"/>
    <n v="9.59"/>
    <n v="20"/>
    <n v="13.43"/>
    <n v="205.23"/>
    <n v="20"/>
    <x v="0"/>
  </r>
  <r>
    <n v="340"/>
    <s v="B"/>
    <s v="Los Angeles"/>
    <s v="Member"/>
    <s v="Female"/>
    <s v="Orange Juice"/>
    <s v="Beverages"/>
    <n v="8.85"/>
    <n v="18"/>
    <n v="11.15"/>
    <n v="170.45"/>
    <n v="17"/>
    <x v="0"/>
  </r>
  <r>
    <n v="341"/>
    <s v="C"/>
    <s v="New York"/>
    <s v="Normal"/>
    <s v="Male"/>
    <s v="Shampoo"/>
    <s v="Personal Care"/>
    <n v="7.01"/>
    <n v="12"/>
    <n v="5.89"/>
    <n v="90.01"/>
    <n v="0"/>
    <x v="0"/>
  </r>
  <r>
    <n v="342"/>
    <s v="B"/>
    <s v="Los Angeles"/>
    <s v="Normal"/>
    <s v="Male"/>
    <s v="Shampoo"/>
    <s v="Personal Care"/>
    <n v="15.87"/>
    <n v="2"/>
    <n v="2.2200000000000002"/>
    <n v="33.96"/>
    <n v="0"/>
    <x v="0"/>
  </r>
  <r>
    <n v="343"/>
    <s v="A"/>
    <s v="Chicago"/>
    <s v="Member"/>
    <s v="Male"/>
    <s v="Apple"/>
    <s v="Fruits"/>
    <n v="4.59"/>
    <n v="13"/>
    <n v="4.18"/>
    <n v="63.85"/>
    <n v="6"/>
    <x v="0"/>
  </r>
  <r>
    <n v="344"/>
    <s v="C"/>
    <s v="New York"/>
    <s v="Normal"/>
    <s v="Female"/>
    <s v="Apple"/>
    <s v="Fruits"/>
    <n v="15.37"/>
    <n v="9"/>
    <n v="9.68"/>
    <n v="148.01"/>
    <n v="0"/>
    <x v="0"/>
  </r>
  <r>
    <n v="345"/>
    <s v="C"/>
    <s v="New York"/>
    <s v="Normal"/>
    <s v="Female"/>
    <s v="Apple"/>
    <s v="Fruits"/>
    <n v="10.07"/>
    <n v="7"/>
    <n v="4.93"/>
    <n v="75.42"/>
    <n v="0"/>
    <x v="0"/>
  </r>
  <r>
    <n v="346"/>
    <s v="A"/>
    <s v="Chicago"/>
    <s v="Normal"/>
    <s v="Male"/>
    <s v="Notebook"/>
    <s v="Stationery"/>
    <n v="5.67"/>
    <n v="10"/>
    <n v="3.97"/>
    <n v="60.67"/>
    <n v="0"/>
    <x v="0"/>
  </r>
  <r>
    <n v="347"/>
    <s v="B"/>
    <s v="Los Angeles"/>
    <s v="Member"/>
    <s v="Female"/>
    <s v="Notebook"/>
    <s v="Stationery"/>
    <n v="18.579999999999998"/>
    <n v="9"/>
    <n v="11.71"/>
    <n v="178.93"/>
    <n v="17"/>
    <x v="0"/>
  </r>
  <r>
    <n v="348"/>
    <s v="C"/>
    <s v="New York"/>
    <s v="Normal"/>
    <s v="Female"/>
    <s v="Shampoo"/>
    <s v="Personal Care"/>
    <n v="20.85"/>
    <n v="7"/>
    <n v="10.220000000000001"/>
    <n v="156.16999999999999"/>
    <n v="0"/>
    <x v="0"/>
  </r>
  <r>
    <n v="349"/>
    <s v="A"/>
    <s v="Chicago"/>
    <s v="Member"/>
    <s v="Male"/>
    <s v="Apple"/>
    <s v="Fruits"/>
    <n v="4.53"/>
    <n v="11"/>
    <n v="3.49"/>
    <n v="53.32"/>
    <n v="5"/>
    <x v="0"/>
  </r>
  <r>
    <n v="350"/>
    <s v="C"/>
    <s v="New York"/>
    <s v="Member"/>
    <s v="Male"/>
    <s v="Orange Juice"/>
    <s v="Beverages"/>
    <n v="6.89"/>
    <n v="8"/>
    <n v="3.86"/>
    <n v="58.98"/>
    <n v="5"/>
    <x v="0"/>
  </r>
  <r>
    <n v="351"/>
    <s v="B"/>
    <s v="Los Angeles"/>
    <s v="Member"/>
    <s v="Male"/>
    <s v="Shampoo"/>
    <s v="Personal Care"/>
    <n v="7"/>
    <n v="16"/>
    <n v="7.84"/>
    <n v="119.84"/>
    <n v="11"/>
    <x v="0"/>
  </r>
  <r>
    <n v="352"/>
    <s v="B"/>
    <s v="Los Angeles"/>
    <s v="Member"/>
    <s v="Female"/>
    <s v="Orange Juice"/>
    <s v="Beverages"/>
    <n v="5.61"/>
    <n v="16"/>
    <n v="6.28"/>
    <n v="96.04"/>
    <n v="9"/>
    <x v="0"/>
  </r>
  <r>
    <n v="353"/>
    <s v="B"/>
    <s v="Los Angeles"/>
    <s v="Member"/>
    <s v="Female"/>
    <s v="Shampoo"/>
    <s v="Personal Care"/>
    <n v="7.64"/>
    <n v="11"/>
    <n v="5.88"/>
    <n v="89.92"/>
    <n v="8"/>
    <x v="0"/>
  </r>
  <r>
    <n v="354"/>
    <s v="B"/>
    <s v="Los Angeles"/>
    <s v="Member"/>
    <s v="Male"/>
    <s v="Orange Juice"/>
    <s v="Beverages"/>
    <n v="17.399999999999999"/>
    <n v="9"/>
    <n v="10.96"/>
    <n v="167.56"/>
    <n v="16"/>
    <x v="0"/>
  </r>
  <r>
    <n v="355"/>
    <s v="A"/>
    <s v="Chicago"/>
    <s v="Normal"/>
    <s v="Female"/>
    <s v="Orange Juice"/>
    <s v="Beverages"/>
    <n v="3.76"/>
    <n v="11"/>
    <n v="2.9"/>
    <n v="44.26"/>
    <n v="0"/>
    <x v="0"/>
  </r>
  <r>
    <n v="356"/>
    <s v="A"/>
    <s v="Chicago"/>
    <s v="Normal"/>
    <s v="Female"/>
    <s v="Orange Juice"/>
    <s v="Beverages"/>
    <n v="3.89"/>
    <n v="2"/>
    <n v="0.54"/>
    <n v="8.32"/>
    <n v="0"/>
    <x v="0"/>
  </r>
  <r>
    <n v="357"/>
    <s v="B"/>
    <s v="Los Angeles"/>
    <s v="Normal"/>
    <s v="Male"/>
    <s v="Detergent"/>
    <s v="Household"/>
    <n v="6.2"/>
    <n v="15"/>
    <n v="6.51"/>
    <n v="99.51"/>
    <n v="0"/>
    <x v="0"/>
  </r>
  <r>
    <n v="358"/>
    <s v="C"/>
    <s v="New York"/>
    <s v="Normal"/>
    <s v="Male"/>
    <s v="Notebook"/>
    <s v="Stationery"/>
    <n v="10.36"/>
    <n v="18"/>
    <n v="13.05"/>
    <n v="199.53"/>
    <n v="0"/>
    <x v="0"/>
  </r>
  <r>
    <n v="359"/>
    <s v="B"/>
    <s v="Los Angeles"/>
    <s v="Normal"/>
    <s v="Female"/>
    <s v="Notebook"/>
    <s v="Stationery"/>
    <n v="2.58"/>
    <n v="19"/>
    <n v="3.43"/>
    <n v="52.45"/>
    <n v="0"/>
    <x v="0"/>
  </r>
  <r>
    <n v="360"/>
    <s v="B"/>
    <s v="Los Angeles"/>
    <s v="Normal"/>
    <s v="Female"/>
    <s v="Orange Juice"/>
    <s v="Beverages"/>
    <n v="2.12"/>
    <n v="16"/>
    <n v="2.37"/>
    <n v="36.29"/>
    <n v="0"/>
    <x v="0"/>
  </r>
  <r>
    <n v="361"/>
    <s v="A"/>
    <s v="Chicago"/>
    <s v="Normal"/>
    <s v="Female"/>
    <s v="Shampoo"/>
    <s v="Personal Care"/>
    <n v="19.95"/>
    <n v="2"/>
    <n v="2.79"/>
    <n v="42.69"/>
    <n v="0"/>
    <x v="0"/>
  </r>
  <r>
    <n v="362"/>
    <s v="A"/>
    <s v="Chicago"/>
    <s v="Normal"/>
    <s v="Female"/>
    <s v="Notebook"/>
    <s v="Stationery"/>
    <n v="19.12"/>
    <n v="17"/>
    <n v="22.75"/>
    <n v="347.79"/>
    <n v="0"/>
    <x v="0"/>
  </r>
  <r>
    <n v="363"/>
    <s v="C"/>
    <s v="New York"/>
    <s v="Normal"/>
    <s v="Female"/>
    <s v="Shampoo"/>
    <s v="Personal Care"/>
    <n v="18.71"/>
    <n v="11"/>
    <n v="14.41"/>
    <n v="220.22"/>
    <n v="0"/>
    <x v="0"/>
  </r>
  <r>
    <n v="364"/>
    <s v="C"/>
    <s v="New York"/>
    <s v="Member"/>
    <s v="Male"/>
    <s v="Shampoo"/>
    <s v="Personal Care"/>
    <n v="15.13"/>
    <n v="20"/>
    <n v="21.18"/>
    <n v="323.77999999999997"/>
    <n v="32"/>
    <x v="0"/>
  </r>
  <r>
    <n v="365"/>
    <s v="B"/>
    <s v="Los Angeles"/>
    <s v="Normal"/>
    <s v="Male"/>
    <s v="Orange Juice"/>
    <s v="Beverages"/>
    <n v="19.440000000000001"/>
    <n v="19"/>
    <n v="25.86"/>
    <n v="395.22"/>
    <n v="0"/>
    <x v="1"/>
  </r>
  <r>
    <n v="366"/>
    <s v="B"/>
    <s v="Los Angeles"/>
    <s v="Member"/>
    <s v="Male"/>
    <s v="Orange Juice"/>
    <s v="Beverages"/>
    <n v="19.899999999999999"/>
    <n v="8"/>
    <n v="11.14"/>
    <n v="170.34"/>
    <n v="17"/>
    <x v="0"/>
  </r>
  <r>
    <n v="367"/>
    <s v="B"/>
    <s v="Los Angeles"/>
    <s v="Member"/>
    <s v="Female"/>
    <s v="Orange Juice"/>
    <s v="Beverages"/>
    <n v="12.2"/>
    <n v="6"/>
    <n v="5.12"/>
    <n v="78.319999999999993"/>
    <n v="7"/>
    <x v="0"/>
  </r>
  <r>
    <n v="368"/>
    <s v="C"/>
    <s v="New York"/>
    <s v="Normal"/>
    <s v="Male"/>
    <s v="Shampoo"/>
    <s v="Personal Care"/>
    <n v="15.99"/>
    <n v="3"/>
    <n v="3.36"/>
    <n v="51.33"/>
    <n v="0"/>
    <x v="0"/>
  </r>
  <r>
    <n v="369"/>
    <s v="C"/>
    <s v="New York"/>
    <s v="Member"/>
    <s v="Female"/>
    <s v="Detergent"/>
    <s v="Household"/>
    <n v="12.78"/>
    <n v="8"/>
    <n v="7.16"/>
    <n v="109.4"/>
    <n v="10"/>
    <x v="0"/>
  </r>
  <r>
    <n v="370"/>
    <s v="A"/>
    <s v="Chicago"/>
    <s v="Member"/>
    <s v="Male"/>
    <s v="Apple"/>
    <s v="Fruits"/>
    <n v="1.1299999999999999"/>
    <n v="1"/>
    <n v="0.08"/>
    <n v="1.21"/>
    <n v="0"/>
    <x v="0"/>
  </r>
  <r>
    <n v="371"/>
    <s v="B"/>
    <s v="Los Angeles"/>
    <s v="Member"/>
    <s v="Female"/>
    <s v="Apple"/>
    <s v="Fruits"/>
    <n v="4.6100000000000003"/>
    <n v="10"/>
    <n v="3.23"/>
    <n v="49.33"/>
    <n v="4"/>
    <x v="0"/>
  </r>
  <r>
    <n v="372"/>
    <s v="C"/>
    <s v="New York"/>
    <s v="Member"/>
    <s v="Female"/>
    <s v="Orange Juice"/>
    <s v="Beverages"/>
    <n v="20"/>
    <n v="2"/>
    <n v="2.8"/>
    <n v="42.8"/>
    <n v="4"/>
    <x v="0"/>
  </r>
  <r>
    <n v="373"/>
    <s v="C"/>
    <s v="New York"/>
    <s v="Member"/>
    <s v="Male"/>
    <s v="Apple"/>
    <s v="Fruits"/>
    <n v="13.7"/>
    <n v="14"/>
    <n v="13.43"/>
    <n v="205.23"/>
    <n v="20"/>
    <x v="0"/>
  </r>
  <r>
    <n v="374"/>
    <s v="A"/>
    <s v="Chicago"/>
    <s v="Normal"/>
    <s v="Female"/>
    <s v="Shampoo"/>
    <s v="Personal Care"/>
    <n v="7.58"/>
    <n v="20"/>
    <n v="10.61"/>
    <n v="162.21"/>
    <n v="0"/>
    <x v="0"/>
  </r>
  <r>
    <n v="375"/>
    <s v="B"/>
    <s v="Los Angeles"/>
    <s v="Member"/>
    <s v="Female"/>
    <s v="Notebook"/>
    <s v="Stationery"/>
    <n v="1.66"/>
    <n v="1"/>
    <n v="0.12"/>
    <n v="1.78"/>
    <n v="0"/>
    <x v="0"/>
  </r>
  <r>
    <n v="376"/>
    <s v="B"/>
    <s v="Los Angeles"/>
    <s v="Normal"/>
    <s v="Female"/>
    <s v="Notebook"/>
    <s v="Stationery"/>
    <n v="5.27"/>
    <n v="6"/>
    <n v="2.21"/>
    <n v="33.83"/>
    <n v="0"/>
    <x v="0"/>
  </r>
  <r>
    <n v="377"/>
    <s v="C"/>
    <s v="New York"/>
    <s v="Normal"/>
    <s v="Male"/>
    <s v="Notebook"/>
    <s v="Stationery"/>
    <n v="15.04"/>
    <n v="11"/>
    <n v="11.58"/>
    <n v="177.02"/>
    <n v="0"/>
    <x v="0"/>
  </r>
  <r>
    <n v="378"/>
    <s v="C"/>
    <s v="New York"/>
    <s v="Normal"/>
    <s v="Female"/>
    <s v="Notebook"/>
    <s v="Stationery"/>
    <n v="2.61"/>
    <n v="12"/>
    <n v="2.19"/>
    <n v="33.51"/>
    <n v="0"/>
    <x v="0"/>
  </r>
  <r>
    <n v="379"/>
    <s v="C"/>
    <s v="New York"/>
    <s v="Normal"/>
    <s v="Female"/>
    <s v="Orange Juice"/>
    <s v="Beverages"/>
    <n v="11.3"/>
    <n v="4"/>
    <n v="3.16"/>
    <n v="48.36"/>
    <n v="0"/>
    <x v="0"/>
  </r>
  <r>
    <n v="380"/>
    <s v="B"/>
    <s v="Los Angeles"/>
    <s v="Normal"/>
    <s v="Male"/>
    <s v="Detergent"/>
    <s v="Household"/>
    <n v="11.52"/>
    <n v="2"/>
    <n v="1.61"/>
    <n v="24.65"/>
    <n v="0"/>
    <x v="0"/>
  </r>
  <r>
    <n v="381"/>
    <s v="A"/>
    <s v="Chicago"/>
    <s v="Member"/>
    <s v="Male"/>
    <s v="Shampoo"/>
    <s v="Personal Care"/>
    <n v="8.56"/>
    <n v="17"/>
    <n v="10.19"/>
    <n v="155.71"/>
    <n v="15"/>
    <x v="0"/>
  </r>
  <r>
    <n v="382"/>
    <s v="C"/>
    <s v="New York"/>
    <s v="Member"/>
    <s v="Female"/>
    <s v="Detergent"/>
    <s v="Household"/>
    <n v="2.11"/>
    <n v="6"/>
    <n v="0.89"/>
    <n v="13.55"/>
    <n v="1"/>
    <x v="0"/>
  </r>
  <r>
    <n v="383"/>
    <s v="A"/>
    <s v="Chicago"/>
    <s v="Member"/>
    <s v="Female"/>
    <s v="Shampoo"/>
    <s v="Personal Care"/>
    <n v="15.48"/>
    <n v="11"/>
    <n v="11.92"/>
    <n v="182.2"/>
    <n v="18"/>
    <x v="0"/>
  </r>
  <r>
    <n v="384"/>
    <s v="B"/>
    <s v="Los Angeles"/>
    <s v="Member"/>
    <s v="Male"/>
    <s v="Orange Juice"/>
    <s v="Beverages"/>
    <n v="3.25"/>
    <n v="20"/>
    <n v="4.55"/>
    <n v="69.55"/>
    <n v="6"/>
    <x v="0"/>
  </r>
  <r>
    <n v="385"/>
    <s v="C"/>
    <s v="New York"/>
    <s v="Member"/>
    <s v="Male"/>
    <s v="Notebook"/>
    <s v="Stationery"/>
    <n v="1.27"/>
    <n v="2"/>
    <n v="0.18"/>
    <n v="2.72"/>
    <n v="0"/>
    <x v="0"/>
  </r>
  <r>
    <n v="386"/>
    <s v="B"/>
    <s v="Los Angeles"/>
    <s v="Normal"/>
    <s v="Male"/>
    <s v="Detergent"/>
    <s v="Household"/>
    <n v="10.94"/>
    <n v="20"/>
    <n v="15.32"/>
    <n v="234.12"/>
    <n v="0"/>
    <x v="0"/>
  </r>
  <r>
    <n v="387"/>
    <s v="C"/>
    <s v="New York"/>
    <s v="Member"/>
    <s v="Male"/>
    <s v="Shampoo"/>
    <s v="Personal Care"/>
    <n v="9.43"/>
    <n v="1"/>
    <n v="0.66"/>
    <n v="10.09"/>
    <n v="1"/>
    <x v="0"/>
  </r>
  <r>
    <n v="388"/>
    <s v="C"/>
    <s v="New York"/>
    <s v="Normal"/>
    <s v="Male"/>
    <s v="Orange Juice"/>
    <s v="Beverages"/>
    <n v="11.75"/>
    <n v="14"/>
    <n v="11.52"/>
    <n v="176.02"/>
    <n v="0"/>
    <x v="0"/>
  </r>
  <r>
    <n v="389"/>
    <s v="A"/>
    <s v="Chicago"/>
    <s v="Member"/>
    <s v="Male"/>
    <s v="Orange Juice"/>
    <s v="Beverages"/>
    <n v="19.88"/>
    <n v="10"/>
    <n v="13.92"/>
    <n v="212.72"/>
    <n v="21"/>
    <x v="0"/>
  </r>
  <r>
    <n v="390"/>
    <s v="A"/>
    <s v="Chicago"/>
    <s v="Member"/>
    <s v="Male"/>
    <s v="Orange Juice"/>
    <s v="Beverages"/>
    <n v="12.38"/>
    <n v="10"/>
    <n v="8.67"/>
    <n v="132.47"/>
    <n v="13"/>
    <x v="0"/>
  </r>
  <r>
    <n v="391"/>
    <s v="B"/>
    <s v="Los Angeles"/>
    <s v="Normal"/>
    <s v="Male"/>
    <s v="Apple"/>
    <s v="Fruits"/>
    <n v="16.43"/>
    <n v="5"/>
    <n v="5.75"/>
    <n v="87.9"/>
    <n v="0"/>
    <x v="0"/>
  </r>
  <r>
    <n v="392"/>
    <s v="B"/>
    <s v="Los Angeles"/>
    <s v="Member"/>
    <s v="Male"/>
    <s v="Detergent"/>
    <s v="Household"/>
    <n v="9.35"/>
    <n v="3"/>
    <n v="1.96"/>
    <n v="30.01"/>
    <n v="3"/>
    <x v="0"/>
  </r>
  <r>
    <n v="393"/>
    <s v="C"/>
    <s v="New York"/>
    <s v="Normal"/>
    <s v="Female"/>
    <s v="Orange Juice"/>
    <s v="Beverages"/>
    <n v="5.19"/>
    <n v="15"/>
    <n v="5.45"/>
    <n v="83.3"/>
    <n v="0"/>
    <x v="0"/>
  </r>
  <r>
    <n v="394"/>
    <s v="B"/>
    <s v="Los Angeles"/>
    <s v="Member"/>
    <s v="Male"/>
    <s v="Orange Juice"/>
    <s v="Beverages"/>
    <n v="12.07"/>
    <n v="7"/>
    <n v="5.91"/>
    <n v="90.4"/>
    <n v="9"/>
    <x v="0"/>
  </r>
  <r>
    <n v="395"/>
    <s v="A"/>
    <s v="Chicago"/>
    <s v="Normal"/>
    <s v="Male"/>
    <s v="Orange Juice"/>
    <s v="Beverages"/>
    <n v="13.42"/>
    <n v="8"/>
    <n v="7.52"/>
    <n v="114.88"/>
    <n v="0"/>
    <x v="0"/>
  </r>
  <r>
    <n v="396"/>
    <s v="B"/>
    <s v="Los Angeles"/>
    <s v="Member"/>
    <s v="Male"/>
    <s v="Notebook"/>
    <s v="Stationery"/>
    <n v="3.34"/>
    <n v="13"/>
    <n v="3.04"/>
    <n v="46.46"/>
    <n v="4"/>
    <x v="0"/>
  </r>
  <r>
    <n v="397"/>
    <s v="B"/>
    <s v="Los Angeles"/>
    <s v="Member"/>
    <s v="Female"/>
    <s v="Notebook"/>
    <s v="Stationery"/>
    <n v="2.44"/>
    <n v="4"/>
    <n v="0.68"/>
    <n v="10.44"/>
    <n v="1"/>
    <x v="0"/>
  </r>
  <r>
    <n v="398"/>
    <s v="C"/>
    <s v="New York"/>
    <s v="Normal"/>
    <s v="Male"/>
    <s v="Apple"/>
    <s v="Fruits"/>
    <n v="19.170000000000002"/>
    <n v="2"/>
    <n v="2.68"/>
    <n v="41.02"/>
    <n v="0"/>
    <x v="0"/>
  </r>
  <r>
    <n v="399"/>
    <s v="A"/>
    <s v="Chicago"/>
    <s v="Normal"/>
    <s v="Female"/>
    <s v="Shampoo"/>
    <s v="Personal Care"/>
    <n v="6.47"/>
    <n v="19"/>
    <n v="8.61"/>
    <n v="131.54"/>
    <n v="0"/>
    <x v="0"/>
  </r>
  <r>
    <n v="400"/>
    <s v="C"/>
    <s v="New York"/>
    <s v="Normal"/>
    <s v="Male"/>
    <s v="Notebook"/>
    <s v="Stationery"/>
    <n v="16.38"/>
    <n v="12"/>
    <n v="13.76"/>
    <n v="210.32"/>
    <n v="0"/>
    <x v="0"/>
  </r>
  <r>
    <n v="401"/>
    <s v="B"/>
    <s v="Los Angeles"/>
    <s v="Normal"/>
    <s v="Female"/>
    <s v="Detergent"/>
    <s v="Household"/>
    <n v="3.8"/>
    <n v="5"/>
    <n v="1.33"/>
    <n v="20.329999999999998"/>
    <n v="0"/>
    <x v="0"/>
  </r>
  <r>
    <n v="402"/>
    <s v="A"/>
    <s v="Chicago"/>
    <s v="Normal"/>
    <s v="Male"/>
    <s v="Detergent"/>
    <s v="Household"/>
    <n v="17.600000000000001"/>
    <n v="8"/>
    <n v="9.86"/>
    <n v="150.66"/>
    <n v="0"/>
    <x v="0"/>
  </r>
  <r>
    <n v="403"/>
    <s v="C"/>
    <s v="New York"/>
    <s v="Member"/>
    <s v="Female"/>
    <s v="Apple"/>
    <s v="Fruits"/>
    <n v="5.09"/>
    <n v="4"/>
    <n v="1.43"/>
    <n v="21.79"/>
    <n v="2"/>
    <x v="0"/>
  </r>
  <r>
    <n v="404"/>
    <s v="B"/>
    <s v="Los Angeles"/>
    <s v="Member"/>
    <s v="Male"/>
    <s v="Detergent"/>
    <s v="Household"/>
    <n v="16.329999999999998"/>
    <n v="2"/>
    <n v="2.29"/>
    <n v="34.950000000000003"/>
    <n v="3"/>
    <x v="0"/>
  </r>
  <r>
    <n v="405"/>
    <s v="A"/>
    <s v="Chicago"/>
    <s v="Normal"/>
    <s v="Male"/>
    <s v="Detergent"/>
    <s v="Household"/>
    <n v="3.4"/>
    <n v="13"/>
    <n v="3.09"/>
    <n v="47.29"/>
    <n v="0"/>
    <x v="0"/>
  </r>
  <r>
    <n v="406"/>
    <s v="A"/>
    <s v="Chicago"/>
    <s v="Member"/>
    <s v="Male"/>
    <s v="Detergent"/>
    <s v="Household"/>
    <n v="13.3"/>
    <n v="17"/>
    <n v="15.83"/>
    <n v="241.93"/>
    <n v="24"/>
    <x v="0"/>
  </r>
  <r>
    <n v="407"/>
    <s v="B"/>
    <s v="Los Angeles"/>
    <s v="Member"/>
    <s v="Male"/>
    <s v="Notebook"/>
    <s v="Stationery"/>
    <n v="12.39"/>
    <n v="7"/>
    <n v="6.07"/>
    <n v="92.8"/>
    <n v="9"/>
    <x v="0"/>
  </r>
  <r>
    <n v="408"/>
    <s v="A"/>
    <s v="Chicago"/>
    <s v="Normal"/>
    <s v="Female"/>
    <s v="Detergent"/>
    <s v="Household"/>
    <n v="2.62"/>
    <n v="14"/>
    <n v="2.57"/>
    <n v="39.25"/>
    <n v="0"/>
    <x v="0"/>
  </r>
  <r>
    <n v="409"/>
    <s v="B"/>
    <s v="Los Angeles"/>
    <s v="Normal"/>
    <s v="Female"/>
    <s v="Shampoo"/>
    <s v="Personal Care"/>
    <n v="18.12"/>
    <n v="2"/>
    <n v="2.54"/>
    <n v="38.78"/>
    <n v="0"/>
    <x v="0"/>
  </r>
  <r>
    <n v="410"/>
    <s v="B"/>
    <s v="Los Angeles"/>
    <s v="Member"/>
    <s v="Female"/>
    <s v="Detergent"/>
    <s v="Household"/>
    <n v="7.28"/>
    <n v="18"/>
    <n v="9.17"/>
    <n v="140.21"/>
    <n v="14"/>
    <x v="0"/>
  </r>
  <r>
    <n v="411"/>
    <s v="B"/>
    <s v="Los Angeles"/>
    <s v="Normal"/>
    <s v="Male"/>
    <s v="Orange Juice"/>
    <s v="Beverages"/>
    <n v="17.850000000000001"/>
    <n v="11"/>
    <n v="13.74"/>
    <n v="210.09"/>
    <n v="0"/>
    <x v="0"/>
  </r>
  <r>
    <n v="412"/>
    <s v="C"/>
    <s v="New York"/>
    <s v="Member"/>
    <s v="Male"/>
    <s v="Orange Juice"/>
    <s v="Beverages"/>
    <n v="6.46"/>
    <n v="6"/>
    <n v="2.71"/>
    <n v="41.47"/>
    <n v="4"/>
    <x v="0"/>
  </r>
  <r>
    <n v="413"/>
    <s v="A"/>
    <s v="Chicago"/>
    <s v="Member"/>
    <s v="Female"/>
    <s v="Detergent"/>
    <s v="Household"/>
    <n v="8.7200000000000006"/>
    <n v="5"/>
    <n v="3.05"/>
    <n v="46.65"/>
    <n v="4"/>
    <x v="0"/>
  </r>
  <r>
    <n v="414"/>
    <s v="A"/>
    <s v="Chicago"/>
    <s v="Normal"/>
    <s v="Female"/>
    <s v="Shampoo"/>
    <s v="Personal Care"/>
    <n v="15.92"/>
    <n v="5"/>
    <n v="5.57"/>
    <n v="85.17"/>
    <n v="0"/>
    <x v="0"/>
  </r>
  <r>
    <n v="415"/>
    <s v="C"/>
    <s v="New York"/>
    <s v="Normal"/>
    <s v="Male"/>
    <s v="Apple"/>
    <s v="Fruits"/>
    <n v="15.52"/>
    <n v="8"/>
    <n v="8.69"/>
    <n v="132.85"/>
    <n v="0"/>
    <x v="0"/>
  </r>
  <r>
    <n v="416"/>
    <s v="A"/>
    <s v="Chicago"/>
    <s v="Member"/>
    <s v="Female"/>
    <s v="Detergent"/>
    <s v="Household"/>
    <n v="8.26"/>
    <n v="10"/>
    <n v="5.78"/>
    <n v="88.38"/>
    <n v="8"/>
    <x v="0"/>
  </r>
  <r>
    <n v="417"/>
    <s v="C"/>
    <s v="New York"/>
    <s v="Member"/>
    <s v="Female"/>
    <s v="Notebook"/>
    <s v="Stationery"/>
    <n v="13.19"/>
    <n v="17"/>
    <n v="15.7"/>
    <n v="239.93"/>
    <n v="23"/>
    <x v="0"/>
  </r>
  <r>
    <n v="418"/>
    <s v="A"/>
    <s v="Chicago"/>
    <s v="Member"/>
    <s v="Female"/>
    <s v="Apple"/>
    <s v="Fruits"/>
    <n v="1.21"/>
    <n v="20"/>
    <n v="1.69"/>
    <n v="25.89"/>
    <n v="2"/>
    <x v="0"/>
  </r>
  <r>
    <n v="419"/>
    <s v="C"/>
    <s v="New York"/>
    <s v="Normal"/>
    <s v="Male"/>
    <s v="Detergent"/>
    <s v="Household"/>
    <n v="20.63"/>
    <n v="11"/>
    <n v="15.89"/>
    <n v="242.82"/>
    <n v="0"/>
    <x v="0"/>
  </r>
  <r>
    <n v="420"/>
    <s v="C"/>
    <s v="New York"/>
    <s v="Normal"/>
    <s v="Male"/>
    <s v="Orange Juice"/>
    <s v="Beverages"/>
    <n v="5.13"/>
    <n v="9"/>
    <n v="3.23"/>
    <n v="49.4"/>
    <n v="0"/>
    <x v="0"/>
  </r>
  <r>
    <n v="421"/>
    <s v="B"/>
    <s v="Los Angeles"/>
    <s v="Member"/>
    <s v="Female"/>
    <s v="Shampoo"/>
    <s v="Personal Care"/>
    <n v="2.14"/>
    <n v="6"/>
    <n v="0.9"/>
    <n v="13.74"/>
    <n v="1"/>
    <x v="0"/>
  </r>
  <r>
    <n v="422"/>
    <s v="C"/>
    <s v="New York"/>
    <s v="Member"/>
    <s v="Male"/>
    <s v="Shampoo"/>
    <s v="Personal Care"/>
    <n v="6.85"/>
    <n v="4"/>
    <n v="1.92"/>
    <n v="29.32"/>
    <n v="2"/>
    <x v="0"/>
  </r>
  <r>
    <n v="423"/>
    <s v="B"/>
    <s v="Los Angeles"/>
    <s v="Normal"/>
    <s v="Male"/>
    <s v="Apple"/>
    <s v="Fruits"/>
    <n v="12.59"/>
    <n v="17"/>
    <n v="14.98"/>
    <n v="229.01"/>
    <n v="0"/>
    <x v="0"/>
  </r>
  <r>
    <n v="424"/>
    <s v="A"/>
    <s v="Chicago"/>
    <s v="Member"/>
    <s v="Female"/>
    <s v="Shampoo"/>
    <s v="Personal Care"/>
    <n v="20.82"/>
    <n v="6"/>
    <n v="8.74"/>
    <n v="133.66"/>
    <n v="13"/>
    <x v="0"/>
  </r>
  <r>
    <n v="425"/>
    <s v="B"/>
    <s v="Los Angeles"/>
    <s v="Normal"/>
    <s v="Female"/>
    <s v="Orange Juice"/>
    <s v="Beverages"/>
    <n v="7.51"/>
    <n v="18"/>
    <n v="9.4600000000000009"/>
    <n v="144.63999999999999"/>
    <n v="0"/>
    <x v="0"/>
  </r>
  <r>
    <n v="426"/>
    <s v="A"/>
    <s v="Chicago"/>
    <s v="Member"/>
    <s v="Male"/>
    <s v="Detergent"/>
    <s v="Household"/>
    <n v="4.29"/>
    <n v="20"/>
    <n v="6.01"/>
    <n v="91.81"/>
    <n v="9"/>
    <x v="0"/>
  </r>
  <r>
    <n v="427"/>
    <s v="C"/>
    <s v="New York"/>
    <s v="Normal"/>
    <s v="Female"/>
    <s v="Apple"/>
    <s v="Fruits"/>
    <n v="11.05"/>
    <n v="7"/>
    <n v="5.41"/>
    <n v="82.76"/>
    <n v="0"/>
    <x v="0"/>
  </r>
  <r>
    <n v="428"/>
    <s v="A"/>
    <s v="Chicago"/>
    <s v="Normal"/>
    <s v="Male"/>
    <s v="Shampoo"/>
    <s v="Personal Care"/>
    <n v="17.100000000000001"/>
    <n v="4"/>
    <n v="4.79"/>
    <n v="73.19"/>
    <n v="0"/>
    <x v="0"/>
  </r>
  <r>
    <n v="429"/>
    <s v="A"/>
    <s v="Chicago"/>
    <s v="Normal"/>
    <s v="Female"/>
    <s v="Detergent"/>
    <s v="Household"/>
    <n v="1.72"/>
    <n v="13"/>
    <n v="1.57"/>
    <n v="23.93"/>
    <n v="0"/>
    <x v="0"/>
  </r>
  <r>
    <n v="430"/>
    <s v="A"/>
    <s v="Chicago"/>
    <s v="Normal"/>
    <s v="Female"/>
    <s v="Apple"/>
    <s v="Fruits"/>
    <n v="17.88"/>
    <n v="13"/>
    <n v="16.27"/>
    <n v="248.71"/>
    <n v="0"/>
    <x v="0"/>
  </r>
  <r>
    <n v="431"/>
    <s v="A"/>
    <s v="Chicago"/>
    <s v="Member"/>
    <s v="Female"/>
    <s v="Apple"/>
    <s v="Fruits"/>
    <n v="16.239999999999998"/>
    <n v="1"/>
    <n v="1.1399999999999999"/>
    <n v="17.38"/>
    <n v="1"/>
    <x v="0"/>
  </r>
  <r>
    <n v="432"/>
    <s v="A"/>
    <s v="Chicago"/>
    <s v="Member"/>
    <s v="Male"/>
    <s v="Notebook"/>
    <s v="Stationery"/>
    <n v="12.83"/>
    <n v="5"/>
    <n v="4.49"/>
    <n v="68.64"/>
    <n v="6"/>
    <x v="0"/>
  </r>
  <r>
    <n v="433"/>
    <s v="B"/>
    <s v="Los Angeles"/>
    <s v="Normal"/>
    <s v="Female"/>
    <s v="Shampoo"/>
    <s v="Personal Care"/>
    <n v="20.8"/>
    <n v="15"/>
    <n v="21.84"/>
    <n v="333.84"/>
    <n v="0"/>
    <x v="0"/>
  </r>
  <r>
    <n v="434"/>
    <s v="B"/>
    <s v="Los Angeles"/>
    <s v="Normal"/>
    <s v="Female"/>
    <s v="Orange Juice"/>
    <s v="Beverages"/>
    <n v="13.78"/>
    <n v="5"/>
    <n v="4.82"/>
    <n v="73.72"/>
    <n v="0"/>
    <x v="0"/>
  </r>
  <r>
    <n v="435"/>
    <s v="C"/>
    <s v="New York"/>
    <s v="Normal"/>
    <s v="Female"/>
    <s v="Shampoo"/>
    <s v="Personal Care"/>
    <n v="17.32"/>
    <n v="14"/>
    <n v="16.97"/>
    <n v="259.45"/>
    <n v="0"/>
    <x v="0"/>
  </r>
  <r>
    <n v="436"/>
    <s v="B"/>
    <s v="Los Angeles"/>
    <s v="Member"/>
    <s v="Male"/>
    <s v="Orange Juice"/>
    <s v="Beverages"/>
    <n v="20.09"/>
    <n v="8"/>
    <n v="11.25"/>
    <n v="171.97"/>
    <n v="17"/>
    <x v="0"/>
  </r>
  <r>
    <n v="437"/>
    <s v="B"/>
    <s v="Los Angeles"/>
    <s v="Member"/>
    <s v="Male"/>
    <s v="Detergent"/>
    <s v="Household"/>
    <n v="13.92"/>
    <n v="11"/>
    <n v="10.72"/>
    <n v="163.84"/>
    <n v="16"/>
    <x v="0"/>
  </r>
  <r>
    <n v="438"/>
    <s v="C"/>
    <s v="New York"/>
    <s v="Member"/>
    <s v="Male"/>
    <s v="Shampoo"/>
    <s v="Personal Care"/>
    <n v="15.48"/>
    <n v="3"/>
    <n v="3.25"/>
    <n v="49.69"/>
    <n v="4"/>
    <x v="0"/>
  </r>
  <r>
    <n v="439"/>
    <s v="C"/>
    <s v="New York"/>
    <s v="Normal"/>
    <s v="Female"/>
    <s v="Orange Juice"/>
    <s v="Beverages"/>
    <n v="8.36"/>
    <n v="8"/>
    <n v="4.68"/>
    <n v="71.56"/>
    <n v="0"/>
    <x v="0"/>
  </r>
  <r>
    <n v="440"/>
    <s v="A"/>
    <s v="Chicago"/>
    <s v="Member"/>
    <s v="Female"/>
    <s v="Notebook"/>
    <s v="Stationery"/>
    <n v="6.09"/>
    <n v="3"/>
    <n v="1.28"/>
    <n v="19.55"/>
    <n v="1"/>
    <x v="0"/>
  </r>
  <r>
    <n v="441"/>
    <s v="A"/>
    <s v="Chicago"/>
    <s v="Normal"/>
    <s v="Male"/>
    <s v="Shampoo"/>
    <s v="Personal Care"/>
    <n v="16.82"/>
    <n v="3"/>
    <n v="3.53"/>
    <n v="53.99"/>
    <n v="0"/>
    <x v="0"/>
  </r>
  <r>
    <n v="442"/>
    <s v="A"/>
    <s v="Chicago"/>
    <s v="Normal"/>
    <s v="Female"/>
    <s v="Shampoo"/>
    <s v="Personal Care"/>
    <n v="8.01"/>
    <n v="14"/>
    <n v="7.85"/>
    <n v="119.99"/>
    <n v="0"/>
    <x v="0"/>
  </r>
  <r>
    <n v="443"/>
    <s v="A"/>
    <s v="Chicago"/>
    <s v="Member"/>
    <s v="Female"/>
    <s v="Notebook"/>
    <s v="Stationery"/>
    <n v="12.01"/>
    <n v="9"/>
    <n v="7.57"/>
    <n v="115.66"/>
    <n v="11"/>
    <x v="0"/>
  </r>
  <r>
    <n v="444"/>
    <s v="B"/>
    <s v="Los Angeles"/>
    <s v="Normal"/>
    <s v="Female"/>
    <s v="Apple"/>
    <s v="Fruits"/>
    <n v="8.19"/>
    <n v="8"/>
    <n v="4.59"/>
    <n v="70.11"/>
    <n v="0"/>
    <x v="0"/>
  </r>
  <r>
    <n v="445"/>
    <s v="B"/>
    <s v="Los Angeles"/>
    <s v="Member"/>
    <s v="Female"/>
    <s v="Shampoo"/>
    <s v="Personal Care"/>
    <n v="16.37"/>
    <n v="2"/>
    <n v="2.29"/>
    <n v="35.03"/>
    <n v="3"/>
    <x v="0"/>
  </r>
  <r>
    <n v="446"/>
    <s v="B"/>
    <s v="Los Angeles"/>
    <s v="Normal"/>
    <s v="Male"/>
    <s v="Shampoo"/>
    <s v="Personal Care"/>
    <n v="10.61"/>
    <n v="20"/>
    <n v="14.85"/>
    <n v="227.05"/>
    <n v="0"/>
    <x v="0"/>
  </r>
  <r>
    <n v="447"/>
    <s v="C"/>
    <s v="New York"/>
    <s v="Member"/>
    <s v="Male"/>
    <s v="Notebook"/>
    <s v="Stationery"/>
    <n v="20.91"/>
    <n v="14"/>
    <n v="20.49"/>
    <n v="313.23"/>
    <n v="31"/>
    <x v="0"/>
  </r>
  <r>
    <n v="448"/>
    <s v="C"/>
    <s v="New York"/>
    <s v="Normal"/>
    <s v="Male"/>
    <s v="Apple"/>
    <s v="Fruits"/>
    <n v="15.32"/>
    <n v="9"/>
    <n v="9.65"/>
    <n v="147.53"/>
    <n v="0"/>
    <x v="0"/>
  </r>
  <r>
    <n v="449"/>
    <s v="B"/>
    <s v="Los Angeles"/>
    <s v="Member"/>
    <s v="Female"/>
    <s v="Orange Juice"/>
    <s v="Beverages"/>
    <n v="8.89"/>
    <n v="12"/>
    <n v="7.47"/>
    <n v="114.15"/>
    <n v="11"/>
    <x v="0"/>
  </r>
  <r>
    <n v="450"/>
    <s v="B"/>
    <s v="Los Angeles"/>
    <s v="Normal"/>
    <s v="Male"/>
    <s v="Apple"/>
    <s v="Fruits"/>
    <n v="19.55"/>
    <n v="15"/>
    <n v="20.53"/>
    <n v="313.77999999999997"/>
    <n v="0"/>
    <x v="0"/>
  </r>
  <r>
    <n v="451"/>
    <s v="C"/>
    <s v="New York"/>
    <s v="Normal"/>
    <s v="Female"/>
    <s v="Notebook"/>
    <s v="Stationery"/>
    <n v="11.16"/>
    <n v="10"/>
    <n v="7.81"/>
    <n v="119.41"/>
    <n v="0"/>
    <x v="0"/>
  </r>
  <r>
    <n v="452"/>
    <s v="C"/>
    <s v="New York"/>
    <s v="Normal"/>
    <s v="Male"/>
    <s v="Apple"/>
    <s v="Fruits"/>
    <n v="16.43"/>
    <n v="5"/>
    <n v="5.75"/>
    <n v="87.9"/>
    <n v="0"/>
    <x v="0"/>
  </r>
  <r>
    <n v="453"/>
    <s v="C"/>
    <s v="New York"/>
    <s v="Normal"/>
    <s v="Male"/>
    <s v="Detergent"/>
    <s v="Household"/>
    <n v="16.77"/>
    <n v="3"/>
    <n v="3.52"/>
    <n v="53.83"/>
    <n v="0"/>
    <x v="0"/>
  </r>
  <r>
    <n v="454"/>
    <s v="B"/>
    <s v="Los Angeles"/>
    <s v="Normal"/>
    <s v="Male"/>
    <s v="Apple"/>
    <s v="Fruits"/>
    <n v="7.23"/>
    <n v="4"/>
    <n v="2.02"/>
    <n v="30.94"/>
    <n v="0"/>
    <x v="0"/>
  </r>
  <r>
    <n v="455"/>
    <s v="A"/>
    <s v="Chicago"/>
    <s v="Member"/>
    <s v="Male"/>
    <s v="Detergent"/>
    <s v="Household"/>
    <n v="9.64"/>
    <n v="16"/>
    <n v="10.8"/>
    <n v="165.04"/>
    <n v="16"/>
    <x v="0"/>
  </r>
  <r>
    <n v="456"/>
    <s v="B"/>
    <s v="Los Angeles"/>
    <s v="Normal"/>
    <s v="Female"/>
    <s v="Orange Juice"/>
    <s v="Beverages"/>
    <n v="13.12"/>
    <n v="8"/>
    <n v="7.35"/>
    <n v="112.31"/>
    <n v="0"/>
    <x v="0"/>
  </r>
  <r>
    <n v="457"/>
    <s v="B"/>
    <s v="Los Angeles"/>
    <s v="Member"/>
    <s v="Male"/>
    <s v="Apple"/>
    <s v="Fruits"/>
    <n v="13.3"/>
    <n v="3"/>
    <n v="2.79"/>
    <n v="42.69"/>
    <n v="4"/>
    <x v="0"/>
  </r>
  <r>
    <n v="458"/>
    <s v="C"/>
    <s v="New York"/>
    <s v="Member"/>
    <s v="Male"/>
    <s v="Apple"/>
    <s v="Fruits"/>
    <n v="9.6"/>
    <n v="14"/>
    <n v="9.41"/>
    <n v="143.81"/>
    <n v="14"/>
    <x v="0"/>
  </r>
  <r>
    <n v="459"/>
    <s v="C"/>
    <s v="New York"/>
    <s v="Normal"/>
    <s v="Male"/>
    <s v="Apple"/>
    <s v="Fruits"/>
    <n v="4.37"/>
    <n v="15"/>
    <n v="4.59"/>
    <n v="70.14"/>
    <n v="0"/>
    <x v="0"/>
  </r>
  <r>
    <n v="460"/>
    <s v="C"/>
    <s v="New York"/>
    <s v="Normal"/>
    <s v="Female"/>
    <s v="Shampoo"/>
    <s v="Personal Care"/>
    <n v="9.94"/>
    <n v="1"/>
    <n v="0.7"/>
    <n v="10.64"/>
    <n v="0"/>
    <x v="0"/>
  </r>
  <r>
    <n v="461"/>
    <s v="C"/>
    <s v="New York"/>
    <s v="Normal"/>
    <s v="Female"/>
    <s v="Orange Juice"/>
    <s v="Beverages"/>
    <n v="4.38"/>
    <n v="11"/>
    <n v="3.37"/>
    <n v="51.55"/>
    <n v="0"/>
    <x v="0"/>
  </r>
  <r>
    <n v="462"/>
    <s v="B"/>
    <s v="Los Angeles"/>
    <s v="Member"/>
    <s v="Male"/>
    <s v="Apple"/>
    <s v="Fruits"/>
    <n v="10.18"/>
    <n v="9"/>
    <n v="6.41"/>
    <n v="98.03"/>
    <n v="9"/>
    <x v="0"/>
  </r>
  <r>
    <n v="463"/>
    <s v="B"/>
    <s v="Los Angeles"/>
    <s v="Normal"/>
    <s v="Female"/>
    <s v="Orange Juice"/>
    <s v="Beverages"/>
    <n v="12.64"/>
    <n v="1"/>
    <n v="0.88"/>
    <n v="13.52"/>
    <n v="0"/>
    <x v="0"/>
  </r>
  <r>
    <n v="464"/>
    <s v="B"/>
    <s v="Los Angeles"/>
    <s v="Normal"/>
    <s v="Male"/>
    <s v="Apple"/>
    <s v="Fruits"/>
    <n v="12.9"/>
    <n v="11"/>
    <n v="9.93"/>
    <n v="151.83000000000001"/>
    <n v="0"/>
    <x v="0"/>
  </r>
  <r>
    <n v="465"/>
    <s v="B"/>
    <s v="Los Angeles"/>
    <s v="Member"/>
    <s v="Female"/>
    <s v="Orange Juice"/>
    <s v="Beverages"/>
    <n v="17.27"/>
    <n v="19"/>
    <n v="22.97"/>
    <n v="351.1"/>
    <n v="35"/>
    <x v="0"/>
  </r>
  <r>
    <n v="466"/>
    <s v="B"/>
    <s v="Los Angeles"/>
    <s v="Member"/>
    <s v="Male"/>
    <s v="Shampoo"/>
    <s v="Personal Care"/>
    <n v="18.14"/>
    <n v="6"/>
    <n v="7.62"/>
    <n v="116.46"/>
    <n v="11"/>
    <x v="0"/>
  </r>
  <r>
    <n v="467"/>
    <s v="B"/>
    <s v="Los Angeles"/>
    <s v="Member"/>
    <s v="Female"/>
    <s v="Orange Juice"/>
    <s v="Beverages"/>
    <n v="19.87"/>
    <n v="7"/>
    <n v="9.74"/>
    <n v="148.83000000000001"/>
    <n v="14"/>
    <x v="0"/>
  </r>
  <r>
    <n v="468"/>
    <s v="B"/>
    <s v="Los Angeles"/>
    <s v="Normal"/>
    <s v="Female"/>
    <s v="Orange Juice"/>
    <s v="Beverages"/>
    <n v="10.5"/>
    <n v="7"/>
    <n v="5.15"/>
    <n v="78.650000000000006"/>
    <n v="0"/>
    <x v="0"/>
  </r>
  <r>
    <n v="469"/>
    <s v="A"/>
    <s v="Chicago"/>
    <s v="Normal"/>
    <s v="Male"/>
    <s v="Notebook"/>
    <s v="Stationery"/>
    <n v="15.98"/>
    <n v="6"/>
    <n v="6.71"/>
    <n v="102.59"/>
    <n v="0"/>
    <x v="0"/>
  </r>
  <r>
    <n v="470"/>
    <s v="B"/>
    <s v="Los Angeles"/>
    <s v="Normal"/>
    <s v="Female"/>
    <s v="Notebook"/>
    <s v="Stationery"/>
    <n v="2.97"/>
    <n v="1"/>
    <n v="0.21"/>
    <n v="3.18"/>
    <n v="0"/>
    <x v="0"/>
  </r>
  <r>
    <n v="471"/>
    <s v="A"/>
    <s v="Chicago"/>
    <s v="Member"/>
    <s v="Female"/>
    <s v="Notebook"/>
    <s v="Stationery"/>
    <n v="1.52"/>
    <n v="8"/>
    <n v="0.85"/>
    <n v="13.01"/>
    <n v="1"/>
    <x v="0"/>
  </r>
  <r>
    <n v="472"/>
    <s v="C"/>
    <s v="New York"/>
    <s v="Normal"/>
    <s v="Female"/>
    <s v="Shampoo"/>
    <s v="Personal Care"/>
    <n v="5.38"/>
    <n v="11"/>
    <n v="4.1399999999999997"/>
    <n v="63.32"/>
    <n v="0"/>
    <x v="0"/>
  </r>
  <r>
    <n v="473"/>
    <s v="A"/>
    <s v="Chicago"/>
    <s v="Member"/>
    <s v="Male"/>
    <s v="Apple"/>
    <s v="Fruits"/>
    <n v="12.89"/>
    <n v="12"/>
    <n v="10.83"/>
    <n v="165.51"/>
    <n v="16"/>
    <x v="0"/>
  </r>
  <r>
    <n v="474"/>
    <s v="B"/>
    <s v="Los Angeles"/>
    <s v="Normal"/>
    <s v="Male"/>
    <s v="Shampoo"/>
    <s v="Personal Care"/>
    <n v="4.9400000000000004"/>
    <n v="5"/>
    <n v="1.73"/>
    <n v="26.43"/>
    <n v="0"/>
    <x v="0"/>
  </r>
  <r>
    <n v="475"/>
    <s v="A"/>
    <s v="Chicago"/>
    <s v="Member"/>
    <s v="Male"/>
    <s v="Orange Juice"/>
    <s v="Beverages"/>
    <n v="18.18"/>
    <n v="17"/>
    <n v="21.63"/>
    <n v="330.69"/>
    <n v="33"/>
    <x v="0"/>
  </r>
  <r>
    <n v="476"/>
    <s v="B"/>
    <s v="Los Angeles"/>
    <s v="Normal"/>
    <s v="Female"/>
    <s v="Detergent"/>
    <s v="Household"/>
    <n v="7.95"/>
    <n v="1"/>
    <n v="0.56000000000000005"/>
    <n v="8.51"/>
    <n v="0"/>
    <x v="0"/>
  </r>
  <r>
    <n v="477"/>
    <s v="B"/>
    <s v="Los Angeles"/>
    <s v="Normal"/>
    <s v="Female"/>
    <s v="Notebook"/>
    <s v="Stationery"/>
    <n v="11.44"/>
    <n v="6"/>
    <n v="4.8"/>
    <n v="73.44"/>
    <n v="0"/>
    <x v="0"/>
  </r>
  <r>
    <n v="478"/>
    <s v="C"/>
    <s v="New York"/>
    <s v="Normal"/>
    <s v="Male"/>
    <s v="Notebook"/>
    <s v="Stationery"/>
    <n v="20.39"/>
    <n v="1"/>
    <n v="1.43"/>
    <n v="21.82"/>
    <n v="0"/>
    <x v="0"/>
  </r>
  <r>
    <n v="479"/>
    <s v="B"/>
    <s v="Los Angeles"/>
    <s v="Member"/>
    <s v="Female"/>
    <s v="Apple"/>
    <s v="Fruits"/>
    <n v="18.899999999999999"/>
    <n v="3"/>
    <n v="3.97"/>
    <n v="60.67"/>
    <n v="6"/>
    <x v="0"/>
  </r>
  <r>
    <n v="480"/>
    <s v="A"/>
    <s v="Chicago"/>
    <s v="Normal"/>
    <s v="Male"/>
    <s v="Notebook"/>
    <s v="Stationery"/>
    <n v="14.42"/>
    <n v="10"/>
    <n v="10.09"/>
    <n v="154.29"/>
    <n v="0"/>
    <x v="0"/>
  </r>
  <r>
    <n v="481"/>
    <s v="C"/>
    <s v="New York"/>
    <s v="Member"/>
    <s v="Female"/>
    <s v="Notebook"/>
    <s v="Stationery"/>
    <n v="9.65"/>
    <n v="11"/>
    <n v="7.43"/>
    <n v="113.58"/>
    <n v="11"/>
    <x v="0"/>
  </r>
  <r>
    <n v="482"/>
    <s v="A"/>
    <s v="Chicago"/>
    <s v="Normal"/>
    <s v="Male"/>
    <s v="Detergent"/>
    <s v="Household"/>
    <n v="12.14"/>
    <n v="17"/>
    <n v="14.45"/>
    <n v="220.83"/>
    <n v="0"/>
    <x v="0"/>
  </r>
  <r>
    <n v="483"/>
    <s v="A"/>
    <s v="Chicago"/>
    <s v="Member"/>
    <s v="Male"/>
    <s v="Apple"/>
    <s v="Fruits"/>
    <n v="10.7"/>
    <n v="11"/>
    <n v="8.24"/>
    <n v="125.94"/>
    <n v="12"/>
    <x v="0"/>
  </r>
  <r>
    <n v="484"/>
    <s v="C"/>
    <s v="New York"/>
    <s v="Normal"/>
    <s v="Male"/>
    <s v="Orange Juice"/>
    <s v="Beverages"/>
    <n v="11.66"/>
    <n v="12"/>
    <n v="9.7899999999999991"/>
    <n v="149.71"/>
    <n v="0"/>
    <x v="0"/>
  </r>
  <r>
    <n v="485"/>
    <s v="A"/>
    <s v="Chicago"/>
    <s v="Normal"/>
    <s v="Female"/>
    <s v="Orange Juice"/>
    <s v="Beverages"/>
    <n v="12.57"/>
    <n v="16"/>
    <n v="14.08"/>
    <n v="215.2"/>
    <n v="0"/>
    <x v="0"/>
  </r>
  <r>
    <n v="486"/>
    <s v="B"/>
    <s v="Los Angeles"/>
    <s v="Normal"/>
    <s v="Female"/>
    <s v="Apple"/>
    <s v="Fruits"/>
    <n v="1.51"/>
    <n v="2"/>
    <n v="0.21"/>
    <n v="3.23"/>
    <n v="0"/>
    <x v="0"/>
  </r>
  <r>
    <n v="487"/>
    <s v="C"/>
    <s v="New York"/>
    <s v="Normal"/>
    <s v="Male"/>
    <s v="Apple"/>
    <s v="Fruits"/>
    <n v="8.2799999999999994"/>
    <n v="9"/>
    <n v="5.22"/>
    <n v="79.739999999999995"/>
    <n v="0"/>
    <x v="0"/>
  </r>
  <r>
    <n v="488"/>
    <s v="C"/>
    <s v="New York"/>
    <s v="Member"/>
    <s v="Male"/>
    <s v="Detergent"/>
    <s v="Household"/>
    <n v="10.1"/>
    <n v="20"/>
    <n v="14.14"/>
    <n v="216.14"/>
    <n v="21"/>
    <x v="0"/>
  </r>
  <r>
    <n v="489"/>
    <s v="B"/>
    <s v="Los Angeles"/>
    <s v="Normal"/>
    <s v="Male"/>
    <s v="Notebook"/>
    <s v="Stationery"/>
    <n v="6.03"/>
    <n v="5"/>
    <n v="2.11"/>
    <n v="32.26"/>
    <n v="0"/>
    <x v="0"/>
  </r>
  <r>
    <n v="490"/>
    <s v="C"/>
    <s v="New York"/>
    <s v="Member"/>
    <s v="Female"/>
    <s v="Orange Juice"/>
    <s v="Beverages"/>
    <n v="20.149999999999999"/>
    <n v="6"/>
    <n v="8.4600000000000009"/>
    <n v="129.36000000000001"/>
    <n v="12"/>
    <x v="0"/>
  </r>
  <r>
    <n v="491"/>
    <s v="C"/>
    <s v="New York"/>
    <s v="Normal"/>
    <s v="Male"/>
    <s v="Detergent"/>
    <s v="Household"/>
    <n v="1.4"/>
    <n v="10"/>
    <n v="0.98"/>
    <n v="14.98"/>
    <n v="0"/>
    <x v="0"/>
  </r>
  <r>
    <n v="492"/>
    <s v="B"/>
    <s v="Los Angeles"/>
    <s v="Member"/>
    <s v="Male"/>
    <s v="Apple"/>
    <s v="Fruits"/>
    <n v="14.04"/>
    <n v="11"/>
    <n v="10.81"/>
    <n v="165.25"/>
    <n v="16"/>
    <x v="0"/>
  </r>
  <r>
    <n v="493"/>
    <s v="C"/>
    <s v="New York"/>
    <s v="Normal"/>
    <s v="Male"/>
    <s v="Notebook"/>
    <s v="Stationery"/>
    <n v="17.02"/>
    <n v="20"/>
    <n v="23.83"/>
    <n v="364.23"/>
    <n v="0"/>
    <x v="0"/>
  </r>
  <r>
    <n v="494"/>
    <s v="B"/>
    <s v="Los Angeles"/>
    <s v="Normal"/>
    <s v="Male"/>
    <s v="Apple"/>
    <s v="Fruits"/>
    <n v="17.96"/>
    <n v="8"/>
    <n v="10.06"/>
    <n v="153.74"/>
    <n v="0"/>
    <x v="0"/>
  </r>
  <r>
    <n v="495"/>
    <s v="C"/>
    <s v="New York"/>
    <s v="Normal"/>
    <s v="Male"/>
    <s v="Notebook"/>
    <s v="Stationery"/>
    <n v="8.3000000000000007"/>
    <n v="8"/>
    <n v="4.6500000000000004"/>
    <n v="71.05"/>
    <n v="0"/>
    <x v="0"/>
  </r>
  <r>
    <n v="496"/>
    <s v="A"/>
    <s v="Chicago"/>
    <s v="Member"/>
    <s v="Male"/>
    <s v="Notebook"/>
    <s v="Stationery"/>
    <n v="1.7"/>
    <n v="12"/>
    <n v="1.43"/>
    <n v="21.83"/>
    <n v="2"/>
    <x v="0"/>
  </r>
  <r>
    <n v="497"/>
    <s v="A"/>
    <s v="Chicago"/>
    <s v="Member"/>
    <s v="Male"/>
    <s v="Notebook"/>
    <s v="Stationery"/>
    <n v="4.09"/>
    <n v="18"/>
    <n v="5.15"/>
    <n v="78.77"/>
    <n v="7"/>
    <x v="0"/>
  </r>
  <r>
    <n v="498"/>
    <s v="B"/>
    <s v="Los Angeles"/>
    <s v="Normal"/>
    <s v="Male"/>
    <s v="Detergent"/>
    <s v="Household"/>
    <n v="12.82"/>
    <n v="5"/>
    <n v="4.49"/>
    <n v="68.59"/>
    <n v="0"/>
    <x v="0"/>
  </r>
  <r>
    <n v="499"/>
    <s v="A"/>
    <s v="Chicago"/>
    <s v="Member"/>
    <s v="Female"/>
    <s v="Notebook"/>
    <s v="Stationery"/>
    <n v="4.7300000000000004"/>
    <n v="16"/>
    <n v="5.3"/>
    <n v="80.98"/>
    <n v="8"/>
    <x v="0"/>
  </r>
  <r>
    <n v="500"/>
    <s v="A"/>
    <s v="Chicago"/>
    <s v="Normal"/>
    <s v="Female"/>
    <s v="Shampoo"/>
    <s v="Personal Care"/>
    <n v="17.48"/>
    <n v="14"/>
    <n v="17.13"/>
    <n v="261.85000000000002"/>
    <n v="0"/>
    <x v="0"/>
  </r>
  <r>
    <n v="501"/>
    <s v="C"/>
    <s v="New York"/>
    <s v="Normal"/>
    <s v="Male"/>
    <s v="Notebook"/>
    <s v="Stationery"/>
    <n v="20.96"/>
    <n v="12"/>
    <n v="17.61"/>
    <n v="269.13"/>
    <n v="0"/>
    <x v="0"/>
  </r>
  <r>
    <n v="502"/>
    <s v="B"/>
    <s v="Los Angeles"/>
    <s v="Member"/>
    <s v="Male"/>
    <s v="Notebook"/>
    <s v="Stationery"/>
    <n v="12.33"/>
    <n v="6"/>
    <n v="5.18"/>
    <n v="79.16"/>
    <n v="7"/>
    <x v="0"/>
  </r>
  <r>
    <n v="503"/>
    <s v="C"/>
    <s v="New York"/>
    <s v="Normal"/>
    <s v="Female"/>
    <s v="Orange Juice"/>
    <s v="Beverages"/>
    <n v="16.239999999999998"/>
    <n v="20"/>
    <n v="22.74"/>
    <n v="347.54"/>
    <n v="0"/>
    <x v="0"/>
  </r>
  <r>
    <n v="504"/>
    <s v="B"/>
    <s v="Los Angeles"/>
    <s v="Normal"/>
    <s v="Male"/>
    <s v="Shampoo"/>
    <s v="Personal Care"/>
    <n v="2.73"/>
    <n v="6"/>
    <n v="1.1499999999999999"/>
    <n v="17.53"/>
    <n v="0"/>
    <x v="0"/>
  </r>
  <r>
    <n v="505"/>
    <s v="A"/>
    <s v="Chicago"/>
    <s v="Member"/>
    <s v="Male"/>
    <s v="Detergent"/>
    <s v="Household"/>
    <n v="3.43"/>
    <n v="19"/>
    <n v="4.5599999999999996"/>
    <n v="69.73"/>
    <n v="6"/>
    <x v="0"/>
  </r>
  <r>
    <n v="506"/>
    <s v="A"/>
    <s v="Chicago"/>
    <s v="Normal"/>
    <s v="Male"/>
    <s v="Apple"/>
    <s v="Fruits"/>
    <n v="14.14"/>
    <n v="12"/>
    <n v="11.88"/>
    <n v="181.56"/>
    <n v="0"/>
    <x v="0"/>
  </r>
  <r>
    <n v="507"/>
    <s v="B"/>
    <s v="Los Angeles"/>
    <s v="Normal"/>
    <s v="Male"/>
    <s v="Orange Juice"/>
    <s v="Beverages"/>
    <n v="5.17"/>
    <n v="15"/>
    <n v="5.43"/>
    <n v="82.98"/>
    <n v="0"/>
    <x v="0"/>
  </r>
  <r>
    <n v="508"/>
    <s v="C"/>
    <s v="New York"/>
    <s v="Member"/>
    <s v="Female"/>
    <s v="Orange Juice"/>
    <s v="Beverages"/>
    <n v="14.16"/>
    <n v="4"/>
    <n v="3.96"/>
    <n v="60.6"/>
    <n v="6"/>
    <x v="0"/>
  </r>
  <r>
    <n v="509"/>
    <s v="A"/>
    <s v="Chicago"/>
    <s v="Normal"/>
    <s v="Female"/>
    <s v="Orange Juice"/>
    <s v="Beverages"/>
    <n v="20.51"/>
    <n v="2"/>
    <n v="2.87"/>
    <n v="43.89"/>
    <n v="0"/>
    <x v="0"/>
  </r>
  <r>
    <n v="510"/>
    <s v="A"/>
    <s v="Chicago"/>
    <s v="Member"/>
    <s v="Female"/>
    <s v="Shampoo"/>
    <s v="Personal Care"/>
    <n v="15.44"/>
    <n v="20"/>
    <n v="21.62"/>
    <n v="330.42"/>
    <n v="33"/>
    <x v="0"/>
  </r>
  <r>
    <n v="511"/>
    <s v="C"/>
    <s v="New York"/>
    <s v="Member"/>
    <s v="Female"/>
    <s v="Notebook"/>
    <s v="Stationery"/>
    <n v="20.48"/>
    <n v="17"/>
    <n v="24.37"/>
    <n v="372.53"/>
    <n v="37"/>
    <x v="0"/>
  </r>
  <r>
    <n v="512"/>
    <s v="A"/>
    <s v="Chicago"/>
    <s v="Member"/>
    <s v="Male"/>
    <s v="Shampoo"/>
    <s v="Personal Care"/>
    <n v="13.15"/>
    <n v="1"/>
    <n v="0.92"/>
    <n v="14.07"/>
    <n v="1"/>
    <x v="0"/>
  </r>
  <r>
    <n v="513"/>
    <s v="A"/>
    <s v="Chicago"/>
    <s v="Member"/>
    <s v="Female"/>
    <s v="Detergent"/>
    <s v="Household"/>
    <n v="1.35"/>
    <n v="1"/>
    <n v="0.09"/>
    <n v="1.44"/>
    <n v="0"/>
    <x v="0"/>
  </r>
  <r>
    <n v="514"/>
    <s v="B"/>
    <s v="Los Angeles"/>
    <s v="Normal"/>
    <s v="Male"/>
    <s v="Detergent"/>
    <s v="Household"/>
    <n v="18.09"/>
    <n v="6"/>
    <n v="7.6"/>
    <n v="116.14"/>
    <n v="0"/>
    <x v="0"/>
  </r>
  <r>
    <n v="515"/>
    <s v="C"/>
    <s v="New York"/>
    <s v="Normal"/>
    <s v="Male"/>
    <s v="Detergent"/>
    <s v="Household"/>
    <n v="8.75"/>
    <n v="8"/>
    <n v="4.9000000000000004"/>
    <n v="74.900000000000006"/>
    <n v="0"/>
    <x v="0"/>
  </r>
  <r>
    <n v="516"/>
    <s v="B"/>
    <s v="Los Angeles"/>
    <s v="Normal"/>
    <s v="Female"/>
    <s v="Detergent"/>
    <s v="Household"/>
    <n v="1.81"/>
    <n v="17"/>
    <n v="2.15"/>
    <n v="32.92"/>
    <n v="0"/>
    <x v="0"/>
  </r>
  <r>
    <n v="517"/>
    <s v="A"/>
    <s v="Chicago"/>
    <s v="Member"/>
    <s v="Male"/>
    <s v="Shampoo"/>
    <s v="Personal Care"/>
    <n v="6.19"/>
    <n v="8"/>
    <n v="3.47"/>
    <n v="52.99"/>
    <n v="5"/>
    <x v="0"/>
  </r>
  <r>
    <n v="518"/>
    <s v="C"/>
    <s v="New York"/>
    <s v="Member"/>
    <s v="Male"/>
    <s v="Detergent"/>
    <s v="Household"/>
    <n v="10.1"/>
    <n v="1"/>
    <n v="0.71"/>
    <n v="10.81"/>
    <n v="1"/>
    <x v="0"/>
  </r>
  <r>
    <n v="519"/>
    <s v="B"/>
    <s v="Los Angeles"/>
    <s v="Member"/>
    <s v="Female"/>
    <s v="Detergent"/>
    <s v="Household"/>
    <n v="6.51"/>
    <n v="9"/>
    <n v="4.0999999999999996"/>
    <n v="62.69"/>
    <n v="6"/>
    <x v="0"/>
  </r>
  <r>
    <n v="520"/>
    <s v="A"/>
    <s v="Chicago"/>
    <s v="Member"/>
    <s v="Male"/>
    <s v="Apple"/>
    <s v="Fruits"/>
    <n v="1.88"/>
    <n v="3"/>
    <n v="0.39"/>
    <n v="6.03"/>
    <n v="0"/>
    <x v="0"/>
  </r>
  <r>
    <n v="521"/>
    <s v="A"/>
    <s v="Chicago"/>
    <s v="Normal"/>
    <s v="Female"/>
    <s v="Shampoo"/>
    <s v="Personal Care"/>
    <n v="13.79"/>
    <n v="3"/>
    <n v="2.9"/>
    <n v="44.27"/>
    <n v="0"/>
    <x v="0"/>
  </r>
  <r>
    <n v="522"/>
    <s v="A"/>
    <s v="Chicago"/>
    <s v="Normal"/>
    <s v="Female"/>
    <s v="Notebook"/>
    <s v="Stationery"/>
    <n v="20.23"/>
    <n v="18"/>
    <n v="25.49"/>
    <n v="389.63"/>
    <n v="0"/>
    <x v="1"/>
  </r>
  <r>
    <n v="523"/>
    <s v="A"/>
    <s v="Chicago"/>
    <s v="Normal"/>
    <s v="Male"/>
    <s v="Apple"/>
    <s v="Fruits"/>
    <n v="17.8"/>
    <n v="2"/>
    <n v="2.4900000000000002"/>
    <n v="38.090000000000003"/>
    <n v="0"/>
    <x v="0"/>
  </r>
  <r>
    <n v="524"/>
    <s v="B"/>
    <s v="Los Angeles"/>
    <s v="Member"/>
    <s v="Male"/>
    <s v="Detergent"/>
    <s v="Household"/>
    <n v="7.53"/>
    <n v="15"/>
    <n v="7.91"/>
    <n v="120.86"/>
    <n v="12"/>
    <x v="0"/>
  </r>
  <r>
    <n v="525"/>
    <s v="B"/>
    <s v="Los Angeles"/>
    <s v="Normal"/>
    <s v="Female"/>
    <s v="Shampoo"/>
    <s v="Personal Care"/>
    <n v="9.51"/>
    <n v="12"/>
    <n v="7.99"/>
    <n v="122.11"/>
    <n v="0"/>
    <x v="0"/>
  </r>
  <r>
    <n v="526"/>
    <s v="A"/>
    <s v="Chicago"/>
    <s v="Normal"/>
    <s v="Female"/>
    <s v="Detergent"/>
    <s v="Household"/>
    <n v="1.68"/>
    <n v="7"/>
    <n v="0.82"/>
    <n v="12.58"/>
    <n v="0"/>
    <x v="0"/>
  </r>
  <r>
    <n v="527"/>
    <s v="C"/>
    <s v="New York"/>
    <s v="Member"/>
    <s v="Male"/>
    <s v="Apple"/>
    <s v="Fruits"/>
    <n v="12.2"/>
    <n v="16"/>
    <n v="13.66"/>
    <n v="208.86"/>
    <n v="20"/>
    <x v="0"/>
  </r>
  <r>
    <n v="528"/>
    <s v="B"/>
    <s v="Los Angeles"/>
    <s v="Member"/>
    <s v="Female"/>
    <s v="Detergent"/>
    <s v="Household"/>
    <n v="6.04"/>
    <n v="13"/>
    <n v="5.5"/>
    <n v="84.02"/>
    <n v="8"/>
    <x v="0"/>
  </r>
  <r>
    <n v="529"/>
    <s v="B"/>
    <s v="Los Angeles"/>
    <s v="Normal"/>
    <s v="Female"/>
    <s v="Shampoo"/>
    <s v="Personal Care"/>
    <n v="1.63"/>
    <n v="13"/>
    <n v="1.48"/>
    <n v="22.67"/>
    <n v="0"/>
    <x v="0"/>
  </r>
  <r>
    <n v="530"/>
    <s v="A"/>
    <s v="Chicago"/>
    <s v="Normal"/>
    <s v="Female"/>
    <s v="Detergent"/>
    <s v="Household"/>
    <n v="10.77"/>
    <n v="18"/>
    <n v="13.57"/>
    <n v="207.43"/>
    <n v="0"/>
    <x v="0"/>
  </r>
  <r>
    <n v="531"/>
    <s v="B"/>
    <s v="Los Angeles"/>
    <s v="Normal"/>
    <s v="Male"/>
    <s v="Detergent"/>
    <s v="Household"/>
    <n v="9.67"/>
    <n v="18"/>
    <n v="12.18"/>
    <n v="186.24"/>
    <n v="0"/>
    <x v="0"/>
  </r>
  <r>
    <n v="532"/>
    <s v="C"/>
    <s v="New York"/>
    <s v="Normal"/>
    <s v="Male"/>
    <s v="Shampoo"/>
    <s v="Personal Care"/>
    <n v="17.53"/>
    <n v="8"/>
    <n v="9.82"/>
    <n v="150.06"/>
    <n v="0"/>
    <x v="0"/>
  </r>
  <r>
    <n v="533"/>
    <s v="C"/>
    <s v="New York"/>
    <s v="Member"/>
    <s v="Male"/>
    <s v="Orange Juice"/>
    <s v="Beverages"/>
    <n v="4.96"/>
    <n v="11"/>
    <n v="3.82"/>
    <n v="58.38"/>
    <n v="5"/>
    <x v="0"/>
  </r>
  <r>
    <n v="534"/>
    <s v="C"/>
    <s v="New York"/>
    <s v="Normal"/>
    <s v="Male"/>
    <s v="Detergent"/>
    <s v="Household"/>
    <n v="7.84"/>
    <n v="3"/>
    <n v="1.65"/>
    <n v="25.17"/>
    <n v="0"/>
    <x v="0"/>
  </r>
  <r>
    <n v="535"/>
    <s v="A"/>
    <s v="Chicago"/>
    <s v="Member"/>
    <s v="Male"/>
    <s v="Notebook"/>
    <s v="Stationery"/>
    <n v="17.399999999999999"/>
    <n v="8"/>
    <n v="9.74"/>
    <n v="148.94"/>
    <n v="14"/>
    <x v="0"/>
  </r>
  <r>
    <n v="536"/>
    <s v="A"/>
    <s v="Chicago"/>
    <s v="Normal"/>
    <s v="Male"/>
    <s v="Apple"/>
    <s v="Fruits"/>
    <n v="12.52"/>
    <n v="5"/>
    <n v="4.38"/>
    <n v="66.98"/>
    <n v="0"/>
    <x v="0"/>
  </r>
  <r>
    <n v="537"/>
    <s v="C"/>
    <s v="New York"/>
    <s v="Normal"/>
    <s v="Male"/>
    <s v="Orange Juice"/>
    <s v="Beverages"/>
    <n v="13.59"/>
    <n v="11"/>
    <n v="10.46"/>
    <n v="159.94999999999999"/>
    <n v="0"/>
    <x v="0"/>
  </r>
  <r>
    <n v="538"/>
    <s v="C"/>
    <s v="New York"/>
    <s v="Member"/>
    <s v="Female"/>
    <s v="Notebook"/>
    <s v="Stationery"/>
    <n v="10.77"/>
    <n v="14"/>
    <n v="10.55"/>
    <n v="161.33000000000001"/>
    <n v="16"/>
    <x v="0"/>
  </r>
  <r>
    <n v="539"/>
    <s v="A"/>
    <s v="Chicago"/>
    <s v="Normal"/>
    <s v="Male"/>
    <s v="Notebook"/>
    <s v="Stationery"/>
    <n v="16.63"/>
    <n v="19"/>
    <n v="22.12"/>
    <n v="338.09"/>
    <n v="0"/>
    <x v="0"/>
  </r>
  <r>
    <n v="540"/>
    <s v="C"/>
    <s v="New York"/>
    <s v="Normal"/>
    <s v="Male"/>
    <s v="Shampoo"/>
    <s v="Personal Care"/>
    <n v="19.920000000000002"/>
    <n v="5"/>
    <n v="6.97"/>
    <n v="106.57"/>
    <n v="0"/>
    <x v="0"/>
  </r>
  <r>
    <n v="541"/>
    <s v="A"/>
    <s v="Chicago"/>
    <s v="Normal"/>
    <s v="Female"/>
    <s v="Orange Juice"/>
    <s v="Beverages"/>
    <n v="14.49"/>
    <n v="2"/>
    <n v="2.0299999999999998"/>
    <n v="31.01"/>
    <n v="0"/>
    <x v="0"/>
  </r>
  <r>
    <n v="542"/>
    <s v="C"/>
    <s v="New York"/>
    <s v="Member"/>
    <s v="Male"/>
    <s v="Orange Juice"/>
    <s v="Beverages"/>
    <n v="9.6999999999999993"/>
    <n v="18"/>
    <n v="12.22"/>
    <n v="186.82"/>
    <n v="18"/>
    <x v="0"/>
  </r>
  <r>
    <n v="543"/>
    <s v="C"/>
    <s v="New York"/>
    <s v="Member"/>
    <s v="Male"/>
    <s v="Apple"/>
    <s v="Fruits"/>
    <n v="5.16"/>
    <n v="20"/>
    <n v="7.22"/>
    <n v="110.42"/>
    <n v="11"/>
    <x v="0"/>
  </r>
  <r>
    <n v="544"/>
    <s v="A"/>
    <s v="Chicago"/>
    <s v="Normal"/>
    <s v="Male"/>
    <s v="Apple"/>
    <s v="Fruits"/>
    <n v="15.69"/>
    <n v="13"/>
    <n v="14.28"/>
    <n v="218.25"/>
    <n v="0"/>
    <x v="0"/>
  </r>
  <r>
    <n v="545"/>
    <s v="B"/>
    <s v="Los Angeles"/>
    <s v="Normal"/>
    <s v="Male"/>
    <s v="Notebook"/>
    <s v="Stationery"/>
    <n v="14.05"/>
    <n v="2"/>
    <n v="1.97"/>
    <n v="30.07"/>
    <n v="0"/>
    <x v="0"/>
  </r>
  <r>
    <n v="546"/>
    <s v="A"/>
    <s v="Chicago"/>
    <s v="Normal"/>
    <s v="Female"/>
    <s v="Shampoo"/>
    <s v="Personal Care"/>
    <n v="15.5"/>
    <n v="2"/>
    <n v="2.17"/>
    <n v="33.17"/>
    <n v="0"/>
    <x v="0"/>
  </r>
  <r>
    <n v="547"/>
    <s v="A"/>
    <s v="Chicago"/>
    <s v="Normal"/>
    <s v="Male"/>
    <s v="Orange Juice"/>
    <s v="Beverages"/>
    <n v="11.2"/>
    <n v="14"/>
    <n v="10.98"/>
    <n v="167.78"/>
    <n v="0"/>
    <x v="0"/>
  </r>
  <r>
    <n v="548"/>
    <s v="C"/>
    <s v="New York"/>
    <s v="Member"/>
    <s v="Male"/>
    <s v="Detergent"/>
    <s v="Household"/>
    <n v="4.42"/>
    <n v="18"/>
    <n v="5.57"/>
    <n v="85.13"/>
    <n v="8"/>
    <x v="0"/>
  </r>
  <r>
    <n v="549"/>
    <s v="C"/>
    <s v="New York"/>
    <s v="Member"/>
    <s v="Female"/>
    <s v="Orange Juice"/>
    <s v="Beverages"/>
    <n v="14.48"/>
    <n v="7"/>
    <n v="7.1"/>
    <n v="108.46"/>
    <n v="10"/>
    <x v="0"/>
  </r>
  <r>
    <n v="550"/>
    <s v="B"/>
    <s v="Los Angeles"/>
    <s v="Member"/>
    <s v="Female"/>
    <s v="Shampoo"/>
    <s v="Personal Care"/>
    <n v="3.05"/>
    <n v="17"/>
    <n v="3.63"/>
    <n v="55.48"/>
    <n v="5"/>
    <x v="0"/>
  </r>
  <r>
    <n v="551"/>
    <s v="A"/>
    <s v="Chicago"/>
    <s v="Normal"/>
    <s v="Female"/>
    <s v="Apple"/>
    <s v="Fruits"/>
    <n v="9.83"/>
    <n v="13"/>
    <n v="8.9499999999999993"/>
    <n v="136.74"/>
    <n v="0"/>
    <x v="0"/>
  </r>
  <r>
    <n v="552"/>
    <s v="A"/>
    <s v="Chicago"/>
    <s v="Member"/>
    <s v="Female"/>
    <s v="Notebook"/>
    <s v="Stationery"/>
    <n v="9"/>
    <n v="1"/>
    <n v="0.63"/>
    <n v="9.6300000000000008"/>
    <n v="0"/>
    <x v="0"/>
  </r>
  <r>
    <n v="553"/>
    <s v="C"/>
    <s v="New York"/>
    <s v="Normal"/>
    <s v="Male"/>
    <s v="Notebook"/>
    <s v="Stationery"/>
    <n v="4.1900000000000004"/>
    <n v="17"/>
    <n v="4.99"/>
    <n v="76.22"/>
    <n v="0"/>
    <x v="0"/>
  </r>
  <r>
    <n v="554"/>
    <s v="C"/>
    <s v="New York"/>
    <s v="Normal"/>
    <s v="Male"/>
    <s v="Apple"/>
    <s v="Fruits"/>
    <n v="20.87"/>
    <n v="1"/>
    <n v="1.46"/>
    <n v="22.33"/>
    <n v="0"/>
    <x v="0"/>
  </r>
  <r>
    <n v="555"/>
    <s v="C"/>
    <s v="New York"/>
    <s v="Normal"/>
    <s v="Female"/>
    <s v="Detergent"/>
    <s v="Household"/>
    <n v="13.19"/>
    <n v="16"/>
    <n v="14.77"/>
    <n v="225.81"/>
    <n v="0"/>
    <x v="0"/>
  </r>
  <r>
    <n v="556"/>
    <s v="A"/>
    <s v="Chicago"/>
    <s v="Member"/>
    <s v="Male"/>
    <s v="Apple"/>
    <s v="Fruits"/>
    <n v="11.38"/>
    <n v="7"/>
    <n v="5.58"/>
    <n v="85.24"/>
    <n v="8"/>
    <x v="0"/>
  </r>
  <r>
    <n v="557"/>
    <s v="A"/>
    <s v="Chicago"/>
    <s v="Normal"/>
    <s v="Female"/>
    <s v="Notebook"/>
    <s v="Stationery"/>
    <n v="2.77"/>
    <n v="19"/>
    <n v="3.68"/>
    <n v="56.31"/>
    <n v="0"/>
    <x v="0"/>
  </r>
  <r>
    <n v="558"/>
    <s v="B"/>
    <s v="Los Angeles"/>
    <s v="Normal"/>
    <s v="Female"/>
    <s v="Detergent"/>
    <s v="Household"/>
    <n v="15.56"/>
    <n v="1"/>
    <n v="1.0900000000000001"/>
    <n v="16.649999999999999"/>
    <n v="0"/>
    <x v="0"/>
  </r>
  <r>
    <n v="559"/>
    <s v="C"/>
    <s v="New York"/>
    <s v="Normal"/>
    <s v="Female"/>
    <s v="Apple"/>
    <s v="Fruits"/>
    <n v="5.88"/>
    <n v="19"/>
    <n v="7.82"/>
    <n v="119.54"/>
    <n v="0"/>
    <x v="0"/>
  </r>
  <r>
    <n v="560"/>
    <s v="C"/>
    <s v="New York"/>
    <s v="Normal"/>
    <s v="Male"/>
    <s v="Notebook"/>
    <s v="Stationery"/>
    <n v="19.03"/>
    <n v="13"/>
    <n v="17.32"/>
    <n v="264.70999999999998"/>
    <n v="0"/>
    <x v="0"/>
  </r>
  <r>
    <n v="561"/>
    <s v="C"/>
    <s v="New York"/>
    <s v="Member"/>
    <s v="Female"/>
    <s v="Apple"/>
    <s v="Fruits"/>
    <n v="16.48"/>
    <n v="13"/>
    <n v="15"/>
    <n v="229.24"/>
    <n v="22"/>
    <x v="0"/>
  </r>
  <r>
    <n v="562"/>
    <s v="B"/>
    <s v="Los Angeles"/>
    <s v="Member"/>
    <s v="Female"/>
    <s v="Shampoo"/>
    <s v="Personal Care"/>
    <n v="3.19"/>
    <n v="5"/>
    <n v="1.1200000000000001"/>
    <n v="17.07"/>
    <n v="1"/>
    <x v="0"/>
  </r>
  <r>
    <n v="563"/>
    <s v="B"/>
    <s v="Los Angeles"/>
    <s v="Member"/>
    <s v="Female"/>
    <s v="Notebook"/>
    <s v="Stationery"/>
    <n v="18.260000000000002"/>
    <n v="2"/>
    <n v="2.56"/>
    <n v="39.08"/>
    <n v="3"/>
    <x v="0"/>
  </r>
  <r>
    <n v="564"/>
    <s v="A"/>
    <s v="Chicago"/>
    <s v="Normal"/>
    <s v="Male"/>
    <s v="Shampoo"/>
    <s v="Personal Care"/>
    <n v="8.73"/>
    <n v="20"/>
    <n v="12.22"/>
    <n v="186.82"/>
    <n v="0"/>
    <x v="0"/>
  </r>
  <r>
    <n v="565"/>
    <s v="C"/>
    <s v="New York"/>
    <s v="Normal"/>
    <s v="Male"/>
    <s v="Notebook"/>
    <s v="Stationery"/>
    <n v="9.9499999999999993"/>
    <n v="12"/>
    <n v="8.36"/>
    <n v="127.76"/>
    <n v="0"/>
    <x v="0"/>
  </r>
  <r>
    <n v="566"/>
    <s v="A"/>
    <s v="Chicago"/>
    <s v="Member"/>
    <s v="Male"/>
    <s v="Orange Juice"/>
    <s v="Beverages"/>
    <n v="5.63"/>
    <n v="18"/>
    <n v="7.09"/>
    <n v="108.43"/>
    <n v="10"/>
    <x v="0"/>
  </r>
  <r>
    <n v="567"/>
    <s v="A"/>
    <s v="Chicago"/>
    <s v="Normal"/>
    <s v="Male"/>
    <s v="Shampoo"/>
    <s v="Personal Care"/>
    <n v="17.190000000000001"/>
    <n v="8"/>
    <n v="9.6300000000000008"/>
    <n v="147.15"/>
    <n v="0"/>
    <x v="0"/>
  </r>
  <r>
    <n v="568"/>
    <s v="B"/>
    <s v="Los Angeles"/>
    <s v="Normal"/>
    <s v="Male"/>
    <s v="Apple"/>
    <s v="Fruits"/>
    <n v="15"/>
    <n v="12"/>
    <n v="12.6"/>
    <n v="192.6"/>
    <n v="0"/>
    <x v="0"/>
  </r>
  <r>
    <n v="569"/>
    <s v="B"/>
    <s v="Los Angeles"/>
    <s v="Normal"/>
    <s v="Female"/>
    <s v="Orange Juice"/>
    <s v="Beverages"/>
    <n v="4.28"/>
    <n v="17"/>
    <n v="5.09"/>
    <n v="77.849999999999994"/>
    <n v="0"/>
    <x v="0"/>
  </r>
  <r>
    <n v="570"/>
    <s v="B"/>
    <s v="Los Angeles"/>
    <s v="Member"/>
    <s v="Female"/>
    <s v="Notebook"/>
    <s v="Stationery"/>
    <n v="4.47"/>
    <n v="14"/>
    <n v="4.38"/>
    <n v="66.959999999999994"/>
    <n v="6"/>
    <x v="0"/>
  </r>
  <r>
    <n v="571"/>
    <s v="B"/>
    <s v="Los Angeles"/>
    <s v="Member"/>
    <s v="Male"/>
    <s v="Apple"/>
    <s v="Fruits"/>
    <n v="17.489999999999998"/>
    <n v="1"/>
    <n v="1.22"/>
    <n v="18.71"/>
    <n v="1"/>
    <x v="0"/>
  </r>
  <r>
    <n v="572"/>
    <s v="B"/>
    <s v="Los Angeles"/>
    <s v="Normal"/>
    <s v="Female"/>
    <s v="Shampoo"/>
    <s v="Personal Care"/>
    <n v="11.72"/>
    <n v="7"/>
    <n v="5.74"/>
    <n v="87.78"/>
    <n v="0"/>
    <x v="0"/>
  </r>
  <r>
    <n v="573"/>
    <s v="C"/>
    <s v="New York"/>
    <s v="Member"/>
    <s v="Female"/>
    <s v="Shampoo"/>
    <s v="Personal Care"/>
    <n v="17.25"/>
    <n v="9"/>
    <n v="10.87"/>
    <n v="166.12"/>
    <n v="16"/>
    <x v="0"/>
  </r>
  <r>
    <n v="574"/>
    <s v="B"/>
    <s v="Los Angeles"/>
    <s v="Normal"/>
    <s v="Female"/>
    <s v="Notebook"/>
    <s v="Stationery"/>
    <n v="11.99"/>
    <n v="19"/>
    <n v="15.95"/>
    <n v="243.76"/>
    <n v="0"/>
    <x v="0"/>
  </r>
  <r>
    <n v="575"/>
    <s v="B"/>
    <s v="Los Angeles"/>
    <s v="Normal"/>
    <s v="Male"/>
    <s v="Shampoo"/>
    <s v="Personal Care"/>
    <n v="8.2899999999999991"/>
    <n v="10"/>
    <n v="5.8"/>
    <n v="88.7"/>
    <n v="0"/>
    <x v="0"/>
  </r>
  <r>
    <n v="576"/>
    <s v="B"/>
    <s v="Los Angeles"/>
    <s v="Normal"/>
    <s v="Male"/>
    <s v="Orange Juice"/>
    <s v="Beverages"/>
    <n v="6.18"/>
    <n v="3"/>
    <n v="1.3"/>
    <n v="19.84"/>
    <n v="0"/>
    <x v="0"/>
  </r>
  <r>
    <n v="577"/>
    <s v="A"/>
    <s v="Chicago"/>
    <s v="Member"/>
    <s v="Male"/>
    <s v="Notebook"/>
    <s v="Stationery"/>
    <n v="17.72"/>
    <n v="7"/>
    <n v="8.68"/>
    <n v="132.72"/>
    <n v="13"/>
    <x v="0"/>
  </r>
  <r>
    <n v="578"/>
    <s v="A"/>
    <s v="Chicago"/>
    <s v="Member"/>
    <s v="Male"/>
    <s v="Orange Juice"/>
    <s v="Beverages"/>
    <n v="12.14"/>
    <n v="14"/>
    <n v="11.9"/>
    <n v="181.86"/>
    <n v="18"/>
    <x v="0"/>
  </r>
  <r>
    <n v="579"/>
    <s v="B"/>
    <s v="Los Angeles"/>
    <s v="Normal"/>
    <s v="Female"/>
    <s v="Shampoo"/>
    <s v="Personal Care"/>
    <n v="9.73"/>
    <n v="15"/>
    <n v="10.220000000000001"/>
    <n v="156.16999999999999"/>
    <n v="0"/>
    <x v="0"/>
  </r>
  <r>
    <n v="580"/>
    <s v="A"/>
    <s v="Chicago"/>
    <s v="Member"/>
    <s v="Male"/>
    <s v="Notebook"/>
    <s v="Stationery"/>
    <n v="19.670000000000002"/>
    <n v="5"/>
    <n v="6.88"/>
    <n v="105.23"/>
    <n v="10"/>
    <x v="0"/>
  </r>
  <r>
    <n v="581"/>
    <s v="B"/>
    <s v="Los Angeles"/>
    <s v="Normal"/>
    <s v="Female"/>
    <s v="Orange Juice"/>
    <s v="Beverages"/>
    <n v="1.35"/>
    <n v="17"/>
    <n v="1.61"/>
    <n v="24.56"/>
    <n v="0"/>
    <x v="0"/>
  </r>
  <r>
    <n v="582"/>
    <s v="B"/>
    <s v="Los Angeles"/>
    <s v="Normal"/>
    <s v="Male"/>
    <s v="Orange Juice"/>
    <s v="Beverages"/>
    <n v="17.95"/>
    <n v="5"/>
    <n v="6.28"/>
    <n v="96.03"/>
    <n v="0"/>
    <x v="0"/>
  </r>
  <r>
    <n v="583"/>
    <s v="B"/>
    <s v="Los Angeles"/>
    <s v="Member"/>
    <s v="Male"/>
    <s v="Apple"/>
    <s v="Fruits"/>
    <n v="5.98"/>
    <n v="17"/>
    <n v="7.12"/>
    <n v="108.78"/>
    <n v="10"/>
    <x v="0"/>
  </r>
  <r>
    <n v="584"/>
    <s v="B"/>
    <s v="Los Angeles"/>
    <s v="Member"/>
    <s v="Male"/>
    <s v="Notebook"/>
    <s v="Stationery"/>
    <n v="13.82"/>
    <n v="20"/>
    <n v="19.350000000000001"/>
    <n v="295.75"/>
    <n v="29"/>
    <x v="0"/>
  </r>
  <r>
    <n v="585"/>
    <s v="B"/>
    <s v="Los Angeles"/>
    <s v="Normal"/>
    <s v="Male"/>
    <s v="Shampoo"/>
    <s v="Personal Care"/>
    <n v="10.67"/>
    <n v="14"/>
    <n v="10.46"/>
    <n v="159.84"/>
    <n v="0"/>
    <x v="0"/>
  </r>
  <r>
    <n v="586"/>
    <s v="A"/>
    <s v="Chicago"/>
    <s v="Normal"/>
    <s v="Male"/>
    <s v="Detergent"/>
    <s v="Household"/>
    <n v="7.58"/>
    <n v="12"/>
    <n v="6.37"/>
    <n v="97.33"/>
    <n v="0"/>
    <x v="0"/>
  </r>
  <r>
    <n v="587"/>
    <s v="C"/>
    <s v="New York"/>
    <s v="Normal"/>
    <s v="Female"/>
    <s v="Apple"/>
    <s v="Fruits"/>
    <n v="19.989999999999998"/>
    <n v="7"/>
    <n v="9.8000000000000007"/>
    <n v="149.72999999999999"/>
    <n v="0"/>
    <x v="0"/>
  </r>
  <r>
    <n v="588"/>
    <s v="B"/>
    <s v="Los Angeles"/>
    <s v="Normal"/>
    <s v="Male"/>
    <s v="Orange Juice"/>
    <s v="Beverages"/>
    <n v="12.74"/>
    <n v="7"/>
    <n v="6.24"/>
    <n v="95.42"/>
    <n v="0"/>
    <x v="0"/>
  </r>
  <r>
    <n v="589"/>
    <s v="C"/>
    <s v="New York"/>
    <s v="Member"/>
    <s v="Male"/>
    <s v="Apple"/>
    <s v="Fruits"/>
    <n v="5.61"/>
    <n v="9"/>
    <n v="3.53"/>
    <n v="54.02"/>
    <n v="5"/>
    <x v="0"/>
  </r>
  <r>
    <n v="590"/>
    <s v="B"/>
    <s v="Los Angeles"/>
    <s v="Normal"/>
    <s v="Male"/>
    <s v="Shampoo"/>
    <s v="Personal Care"/>
    <n v="2.7"/>
    <n v="1"/>
    <n v="0.19"/>
    <n v="2.89"/>
    <n v="0"/>
    <x v="0"/>
  </r>
  <r>
    <n v="591"/>
    <s v="A"/>
    <s v="Chicago"/>
    <s v="Normal"/>
    <s v="Male"/>
    <s v="Shampoo"/>
    <s v="Personal Care"/>
    <n v="11.33"/>
    <n v="8"/>
    <n v="6.34"/>
    <n v="96.98"/>
    <n v="0"/>
    <x v="0"/>
  </r>
  <r>
    <n v="592"/>
    <s v="B"/>
    <s v="Los Angeles"/>
    <s v="Normal"/>
    <s v="Male"/>
    <s v="Notebook"/>
    <s v="Stationery"/>
    <n v="18.91"/>
    <n v="14"/>
    <n v="18.53"/>
    <n v="283.27"/>
    <n v="0"/>
    <x v="0"/>
  </r>
  <r>
    <n v="593"/>
    <s v="A"/>
    <s v="Chicago"/>
    <s v="Member"/>
    <s v="Female"/>
    <s v="Apple"/>
    <s v="Fruits"/>
    <n v="1.38"/>
    <n v="18"/>
    <n v="1.74"/>
    <n v="26.58"/>
    <n v="2"/>
    <x v="0"/>
  </r>
  <r>
    <n v="594"/>
    <s v="B"/>
    <s v="Los Angeles"/>
    <s v="Normal"/>
    <s v="Female"/>
    <s v="Detergent"/>
    <s v="Household"/>
    <n v="18.28"/>
    <n v="19"/>
    <n v="24.31"/>
    <n v="371.63"/>
    <n v="0"/>
    <x v="0"/>
  </r>
  <r>
    <n v="595"/>
    <s v="C"/>
    <s v="New York"/>
    <s v="Member"/>
    <s v="Female"/>
    <s v="Apple"/>
    <s v="Fruits"/>
    <n v="1.89"/>
    <n v="10"/>
    <n v="1.32"/>
    <n v="20.22"/>
    <n v="2"/>
    <x v="0"/>
  </r>
  <r>
    <n v="596"/>
    <s v="C"/>
    <s v="New York"/>
    <s v="Normal"/>
    <s v="Male"/>
    <s v="Notebook"/>
    <s v="Stationery"/>
    <n v="6.36"/>
    <n v="7"/>
    <n v="3.12"/>
    <n v="47.64"/>
    <n v="0"/>
    <x v="0"/>
  </r>
  <r>
    <n v="597"/>
    <s v="A"/>
    <s v="Chicago"/>
    <s v="Member"/>
    <s v="Female"/>
    <s v="Detergent"/>
    <s v="Household"/>
    <n v="13.96"/>
    <n v="16"/>
    <n v="15.64"/>
    <n v="239"/>
    <n v="23"/>
    <x v="0"/>
  </r>
  <r>
    <n v="598"/>
    <s v="B"/>
    <s v="Los Angeles"/>
    <s v="Normal"/>
    <s v="Male"/>
    <s v="Orange Juice"/>
    <s v="Beverages"/>
    <n v="10.84"/>
    <n v="18"/>
    <n v="13.66"/>
    <n v="208.78"/>
    <n v="0"/>
    <x v="0"/>
  </r>
  <r>
    <n v="599"/>
    <s v="B"/>
    <s v="Los Angeles"/>
    <s v="Normal"/>
    <s v="Female"/>
    <s v="Orange Juice"/>
    <s v="Beverages"/>
    <n v="9.7799999999999994"/>
    <n v="1"/>
    <n v="0.68"/>
    <n v="10.46"/>
    <n v="0"/>
    <x v="0"/>
  </r>
  <r>
    <n v="600"/>
    <s v="A"/>
    <s v="Chicago"/>
    <s v="Member"/>
    <s v="Male"/>
    <s v="Apple"/>
    <s v="Fruits"/>
    <n v="3.33"/>
    <n v="11"/>
    <n v="2.56"/>
    <n v="39.19"/>
    <n v="3"/>
    <x v="0"/>
  </r>
  <r>
    <n v="601"/>
    <s v="A"/>
    <s v="Chicago"/>
    <s v="Normal"/>
    <s v="Female"/>
    <s v="Apple"/>
    <s v="Fruits"/>
    <n v="8.67"/>
    <n v="10"/>
    <n v="6.07"/>
    <n v="92.77"/>
    <n v="0"/>
    <x v="0"/>
  </r>
  <r>
    <n v="602"/>
    <s v="B"/>
    <s v="Los Angeles"/>
    <s v="Member"/>
    <s v="Male"/>
    <s v="Detergent"/>
    <s v="Household"/>
    <n v="11.73"/>
    <n v="19"/>
    <n v="15.6"/>
    <n v="238.47"/>
    <n v="23"/>
    <x v="0"/>
  </r>
  <r>
    <n v="603"/>
    <s v="C"/>
    <s v="New York"/>
    <s v="Normal"/>
    <s v="Male"/>
    <s v="Detergent"/>
    <s v="Household"/>
    <n v="7.96"/>
    <n v="12"/>
    <n v="6.69"/>
    <n v="102.21"/>
    <n v="0"/>
    <x v="0"/>
  </r>
  <r>
    <n v="604"/>
    <s v="A"/>
    <s v="Chicago"/>
    <s v="Normal"/>
    <s v="Male"/>
    <s v="Apple"/>
    <s v="Fruits"/>
    <n v="5.87"/>
    <n v="7"/>
    <n v="2.88"/>
    <n v="43.97"/>
    <n v="0"/>
    <x v="0"/>
  </r>
  <r>
    <n v="605"/>
    <s v="C"/>
    <s v="New York"/>
    <s v="Normal"/>
    <s v="Female"/>
    <s v="Notebook"/>
    <s v="Stationery"/>
    <n v="4.1500000000000004"/>
    <n v="1"/>
    <n v="0.28999999999999998"/>
    <n v="4.4400000000000004"/>
    <n v="0"/>
    <x v="0"/>
  </r>
  <r>
    <n v="606"/>
    <s v="A"/>
    <s v="Chicago"/>
    <s v="Member"/>
    <s v="Male"/>
    <s v="Shampoo"/>
    <s v="Personal Care"/>
    <n v="10.220000000000001"/>
    <n v="5"/>
    <n v="3.58"/>
    <n v="54.68"/>
    <n v="5"/>
    <x v="0"/>
  </r>
  <r>
    <n v="607"/>
    <s v="B"/>
    <s v="Los Angeles"/>
    <s v="Normal"/>
    <s v="Male"/>
    <s v="Orange Juice"/>
    <s v="Beverages"/>
    <n v="17.420000000000002"/>
    <n v="3"/>
    <n v="3.66"/>
    <n v="55.92"/>
    <n v="0"/>
    <x v="0"/>
  </r>
  <r>
    <n v="608"/>
    <s v="B"/>
    <s v="Los Angeles"/>
    <s v="Normal"/>
    <s v="Male"/>
    <s v="Apple"/>
    <s v="Fruits"/>
    <n v="7.44"/>
    <n v="12"/>
    <n v="6.25"/>
    <n v="95.53"/>
    <n v="0"/>
    <x v="0"/>
  </r>
  <r>
    <n v="609"/>
    <s v="A"/>
    <s v="Chicago"/>
    <s v="Member"/>
    <s v="Male"/>
    <s v="Shampoo"/>
    <s v="Personal Care"/>
    <n v="15.53"/>
    <n v="8"/>
    <n v="8.6999999999999993"/>
    <n v="132.94"/>
    <n v="13"/>
    <x v="0"/>
  </r>
  <r>
    <n v="610"/>
    <s v="A"/>
    <s v="Chicago"/>
    <s v="Normal"/>
    <s v="Female"/>
    <s v="Apple"/>
    <s v="Fruits"/>
    <n v="2.68"/>
    <n v="5"/>
    <n v="0.94"/>
    <n v="14.34"/>
    <n v="0"/>
    <x v="0"/>
  </r>
  <r>
    <n v="611"/>
    <s v="C"/>
    <s v="New York"/>
    <s v="Normal"/>
    <s v="Male"/>
    <s v="Apple"/>
    <s v="Fruits"/>
    <n v="15.57"/>
    <n v="2"/>
    <n v="2.1800000000000002"/>
    <n v="33.32"/>
    <n v="0"/>
    <x v="0"/>
  </r>
  <r>
    <n v="612"/>
    <s v="C"/>
    <s v="New York"/>
    <s v="Member"/>
    <s v="Male"/>
    <s v="Detergent"/>
    <s v="Household"/>
    <n v="8.39"/>
    <n v="1"/>
    <n v="0.59"/>
    <n v="8.98"/>
    <n v="0"/>
    <x v="0"/>
  </r>
  <r>
    <n v="613"/>
    <s v="B"/>
    <s v="Los Angeles"/>
    <s v="Normal"/>
    <s v="Male"/>
    <s v="Apple"/>
    <s v="Fruits"/>
    <n v="19.28"/>
    <n v="2"/>
    <n v="2.7"/>
    <n v="41.26"/>
    <n v="0"/>
    <x v="0"/>
  </r>
  <r>
    <n v="614"/>
    <s v="C"/>
    <s v="New York"/>
    <s v="Normal"/>
    <s v="Female"/>
    <s v="Orange Juice"/>
    <s v="Beverages"/>
    <n v="12.9"/>
    <n v="6"/>
    <n v="5.42"/>
    <n v="82.82"/>
    <n v="0"/>
    <x v="0"/>
  </r>
  <r>
    <n v="615"/>
    <s v="C"/>
    <s v="New York"/>
    <s v="Normal"/>
    <s v="Male"/>
    <s v="Orange Juice"/>
    <s v="Beverages"/>
    <n v="6.9"/>
    <n v="6"/>
    <n v="2.9"/>
    <n v="44.3"/>
    <n v="0"/>
    <x v="0"/>
  </r>
  <r>
    <n v="616"/>
    <s v="B"/>
    <s v="Los Angeles"/>
    <s v="Normal"/>
    <s v="Female"/>
    <s v="Apple"/>
    <s v="Fruits"/>
    <n v="12.94"/>
    <n v="3"/>
    <n v="2.72"/>
    <n v="41.54"/>
    <n v="0"/>
    <x v="0"/>
  </r>
  <r>
    <n v="617"/>
    <s v="A"/>
    <s v="Chicago"/>
    <s v="Normal"/>
    <s v="Male"/>
    <s v="Notebook"/>
    <s v="Stationery"/>
    <n v="8.76"/>
    <n v="4"/>
    <n v="2.4500000000000002"/>
    <n v="37.49"/>
    <n v="0"/>
    <x v="0"/>
  </r>
  <r>
    <n v="618"/>
    <s v="C"/>
    <s v="New York"/>
    <s v="Normal"/>
    <s v="Female"/>
    <s v="Detergent"/>
    <s v="Household"/>
    <n v="3.64"/>
    <n v="8"/>
    <n v="2.04"/>
    <n v="31.16"/>
    <n v="0"/>
    <x v="0"/>
  </r>
  <r>
    <n v="619"/>
    <s v="A"/>
    <s v="Chicago"/>
    <s v="Member"/>
    <s v="Female"/>
    <s v="Shampoo"/>
    <s v="Personal Care"/>
    <n v="8.39"/>
    <n v="15"/>
    <n v="8.81"/>
    <n v="134.66"/>
    <n v="13"/>
    <x v="0"/>
  </r>
  <r>
    <n v="620"/>
    <s v="B"/>
    <s v="Los Angeles"/>
    <s v="Member"/>
    <s v="Female"/>
    <s v="Apple"/>
    <s v="Fruits"/>
    <n v="3.07"/>
    <n v="9"/>
    <n v="1.93"/>
    <n v="29.56"/>
    <n v="2"/>
    <x v="0"/>
  </r>
  <r>
    <n v="621"/>
    <s v="B"/>
    <s v="Los Angeles"/>
    <s v="Member"/>
    <s v="Female"/>
    <s v="Notebook"/>
    <s v="Stationery"/>
    <n v="4.57"/>
    <n v="17"/>
    <n v="5.44"/>
    <n v="83.13"/>
    <n v="8"/>
    <x v="0"/>
  </r>
  <r>
    <n v="622"/>
    <s v="C"/>
    <s v="New York"/>
    <s v="Normal"/>
    <s v="Female"/>
    <s v="Detergent"/>
    <s v="Household"/>
    <n v="19.77"/>
    <n v="20"/>
    <n v="27.68"/>
    <n v="423.08"/>
    <n v="0"/>
    <x v="1"/>
  </r>
  <r>
    <n v="623"/>
    <s v="B"/>
    <s v="Los Angeles"/>
    <s v="Member"/>
    <s v="Male"/>
    <s v="Orange Juice"/>
    <s v="Beverages"/>
    <n v="2.39"/>
    <n v="7"/>
    <n v="1.17"/>
    <n v="17.899999999999999"/>
    <n v="1"/>
    <x v="0"/>
  </r>
  <r>
    <n v="624"/>
    <s v="A"/>
    <s v="Chicago"/>
    <s v="Member"/>
    <s v="Female"/>
    <s v="Notebook"/>
    <s v="Stationery"/>
    <n v="17.73"/>
    <n v="19"/>
    <n v="23.58"/>
    <n v="360.45"/>
    <n v="36"/>
    <x v="0"/>
  </r>
  <r>
    <n v="625"/>
    <s v="C"/>
    <s v="New York"/>
    <s v="Member"/>
    <s v="Male"/>
    <s v="Detergent"/>
    <s v="Household"/>
    <n v="11.96"/>
    <n v="3"/>
    <n v="2.5099999999999998"/>
    <n v="38.39"/>
    <n v="3"/>
    <x v="0"/>
  </r>
  <r>
    <n v="626"/>
    <s v="C"/>
    <s v="New York"/>
    <s v="Member"/>
    <s v="Male"/>
    <s v="Detergent"/>
    <s v="Household"/>
    <n v="12.34"/>
    <n v="8"/>
    <n v="6.91"/>
    <n v="105.63"/>
    <n v="10"/>
    <x v="0"/>
  </r>
  <r>
    <n v="627"/>
    <s v="A"/>
    <s v="Chicago"/>
    <s v="Normal"/>
    <s v="Female"/>
    <s v="Orange Juice"/>
    <s v="Beverages"/>
    <n v="6.2"/>
    <n v="3"/>
    <n v="1.3"/>
    <n v="19.899999999999999"/>
    <n v="0"/>
    <x v="0"/>
  </r>
  <r>
    <n v="628"/>
    <s v="B"/>
    <s v="Los Angeles"/>
    <s v="Normal"/>
    <s v="Male"/>
    <s v="Shampoo"/>
    <s v="Personal Care"/>
    <n v="15.18"/>
    <n v="5"/>
    <n v="5.31"/>
    <n v="81.209999999999994"/>
    <n v="0"/>
    <x v="0"/>
  </r>
  <r>
    <n v="629"/>
    <s v="B"/>
    <s v="Los Angeles"/>
    <s v="Normal"/>
    <s v="Male"/>
    <s v="Notebook"/>
    <s v="Stationery"/>
    <n v="14.15"/>
    <n v="19"/>
    <n v="18.82"/>
    <n v="287.67"/>
    <n v="0"/>
    <x v="0"/>
  </r>
  <r>
    <n v="630"/>
    <s v="B"/>
    <s v="Los Angeles"/>
    <s v="Normal"/>
    <s v="Male"/>
    <s v="Notebook"/>
    <s v="Stationery"/>
    <n v="7.15"/>
    <n v="14"/>
    <n v="7.01"/>
    <n v="107.11"/>
    <n v="0"/>
    <x v="0"/>
  </r>
  <r>
    <n v="631"/>
    <s v="C"/>
    <s v="New York"/>
    <s v="Normal"/>
    <s v="Female"/>
    <s v="Shampoo"/>
    <s v="Personal Care"/>
    <n v="14.7"/>
    <n v="14"/>
    <n v="14.41"/>
    <n v="220.21"/>
    <n v="0"/>
    <x v="0"/>
  </r>
  <r>
    <n v="632"/>
    <s v="A"/>
    <s v="Chicago"/>
    <s v="Normal"/>
    <s v="Male"/>
    <s v="Orange Juice"/>
    <s v="Beverages"/>
    <n v="20.6"/>
    <n v="17"/>
    <n v="24.51"/>
    <n v="374.71"/>
    <n v="0"/>
    <x v="0"/>
  </r>
  <r>
    <n v="633"/>
    <s v="B"/>
    <s v="Los Angeles"/>
    <s v="Normal"/>
    <s v="Male"/>
    <s v="Shampoo"/>
    <s v="Personal Care"/>
    <n v="13.71"/>
    <n v="2"/>
    <n v="1.92"/>
    <n v="29.34"/>
    <n v="0"/>
    <x v="0"/>
  </r>
  <r>
    <n v="634"/>
    <s v="C"/>
    <s v="New York"/>
    <s v="Normal"/>
    <s v="Female"/>
    <s v="Apple"/>
    <s v="Fruits"/>
    <n v="17.170000000000002"/>
    <n v="1"/>
    <n v="1.2"/>
    <n v="18.37"/>
    <n v="0"/>
    <x v="0"/>
  </r>
  <r>
    <n v="635"/>
    <s v="C"/>
    <s v="New York"/>
    <s v="Normal"/>
    <s v="Female"/>
    <s v="Detergent"/>
    <s v="Household"/>
    <n v="9.3800000000000008"/>
    <n v="5"/>
    <n v="3.28"/>
    <n v="50.18"/>
    <n v="0"/>
    <x v="0"/>
  </r>
  <r>
    <n v="636"/>
    <s v="B"/>
    <s v="Los Angeles"/>
    <s v="Normal"/>
    <s v="Female"/>
    <s v="Apple"/>
    <s v="Fruits"/>
    <n v="4.34"/>
    <n v="1"/>
    <n v="0.3"/>
    <n v="4.6399999999999997"/>
    <n v="0"/>
    <x v="0"/>
  </r>
  <r>
    <n v="637"/>
    <s v="A"/>
    <s v="Chicago"/>
    <s v="Normal"/>
    <s v="Male"/>
    <s v="Orange Juice"/>
    <s v="Beverages"/>
    <n v="11.71"/>
    <n v="2"/>
    <n v="1.64"/>
    <n v="25.06"/>
    <n v="0"/>
    <x v="0"/>
  </r>
  <r>
    <n v="638"/>
    <s v="A"/>
    <s v="Chicago"/>
    <s v="Member"/>
    <s v="Male"/>
    <s v="Orange Juice"/>
    <s v="Beverages"/>
    <n v="8.8000000000000007"/>
    <n v="15"/>
    <n v="9.24"/>
    <n v="141.24"/>
    <n v="14"/>
    <x v="0"/>
  </r>
  <r>
    <n v="639"/>
    <s v="A"/>
    <s v="Chicago"/>
    <s v="Member"/>
    <s v="Male"/>
    <s v="Orange Juice"/>
    <s v="Beverages"/>
    <n v="14.09"/>
    <n v="20"/>
    <n v="19.73"/>
    <n v="301.52999999999997"/>
    <n v="30"/>
    <x v="0"/>
  </r>
  <r>
    <n v="640"/>
    <s v="B"/>
    <s v="Los Angeles"/>
    <s v="Normal"/>
    <s v="Male"/>
    <s v="Orange Juice"/>
    <s v="Beverages"/>
    <n v="14.33"/>
    <n v="20"/>
    <n v="20.059999999999999"/>
    <n v="306.66000000000003"/>
    <n v="0"/>
    <x v="0"/>
  </r>
  <r>
    <n v="641"/>
    <s v="A"/>
    <s v="Chicago"/>
    <s v="Normal"/>
    <s v="Female"/>
    <s v="Notebook"/>
    <s v="Stationery"/>
    <n v="4.88"/>
    <n v="2"/>
    <n v="0.68"/>
    <n v="10.44"/>
    <n v="0"/>
    <x v="0"/>
  </r>
  <r>
    <n v="642"/>
    <s v="C"/>
    <s v="New York"/>
    <s v="Normal"/>
    <s v="Female"/>
    <s v="Detergent"/>
    <s v="Household"/>
    <n v="17.25"/>
    <n v="6"/>
    <n v="7.25"/>
    <n v="110.75"/>
    <n v="0"/>
    <x v="0"/>
  </r>
  <r>
    <n v="643"/>
    <s v="A"/>
    <s v="Chicago"/>
    <s v="Member"/>
    <s v="Female"/>
    <s v="Orange Juice"/>
    <s v="Beverages"/>
    <n v="5.83"/>
    <n v="1"/>
    <n v="0.41"/>
    <n v="6.24"/>
    <n v="0"/>
    <x v="0"/>
  </r>
  <r>
    <n v="644"/>
    <s v="C"/>
    <s v="New York"/>
    <s v="Normal"/>
    <s v="Male"/>
    <s v="Shampoo"/>
    <s v="Personal Care"/>
    <n v="13.2"/>
    <n v="16"/>
    <n v="14.78"/>
    <n v="225.98"/>
    <n v="0"/>
    <x v="0"/>
  </r>
  <r>
    <n v="645"/>
    <s v="C"/>
    <s v="New York"/>
    <s v="Member"/>
    <s v="Male"/>
    <s v="Shampoo"/>
    <s v="Personal Care"/>
    <n v="1.26"/>
    <n v="2"/>
    <n v="0.18"/>
    <n v="2.7"/>
    <n v="0"/>
    <x v="0"/>
  </r>
  <r>
    <n v="646"/>
    <s v="B"/>
    <s v="Los Angeles"/>
    <s v="Normal"/>
    <s v="Male"/>
    <s v="Detergent"/>
    <s v="Household"/>
    <n v="19.440000000000001"/>
    <n v="14"/>
    <n v="19.05"/>
    <n v="291.20999999999998"/>
    <n v="0"/>
    <x v="0"/>
  </r>
  <r>
    <n v="647"/>
    <s v="A"/>
    <s v="Chicago"/>
    <s v="Member"/>
    <s v="Male"/>
    <s v="Orange Juice"/>
    <s v="Beverages"/>
    <n v="3.4"/>
    <n v="14"/>
    <n v="3.33"/>
    <n v="50.93"/>
    <n v="5"/>
    <x v="0"/>
  </r>
  <r>
    <n v="648"/>
    <s v="B"/>
    <s v="Los Angeles"/>
    <s v="Member"/>
    <s v="Male"/>
    <s v="Orange Juice"/>
    <s v="Beverages"/>
    <n v="6.4"/>
    <n v="18"/>
    <n v="8.06"/>
    <n v="123.26"/>
    <n v="12"/>
    <x v="0"/>
  </r>
  <r>
    <n v="649"/>
    <s v="A"/>
    <s v="Chicago"/>
    <s v="Normal"/>
    <s v="Female"/>
    <s v="Detergent"/>
    <s v="Household"/>
    <n v="7.8"/>
    <n v="18"/>
    <n v="9.83"/>
    <n v="150.22999999999999"/>
    <n v="0"/>
    <x v="0"/>
  </r>
  <r>
    <n v="650"/>
    <s v="A"/>
    <s v="Chicago"/>
    <s v="Normal"/>
    <s v="Male"/>
    <s v="Notebook"/>
    <s v="Stationery"/>
    <n v="2.31"/>
    <n v="9"/>
    <n v="1.46"/>
    <n v="22.25"/>
    <n v="0"/>
    <x v="0"/>
  </r>
  <r>
    <n v="651"/>
    <s v="A"/>
    <s v="Chicago"/>
    <s v="Normal"/>
    <s v="Female"/>
    <s v="Shampoo"/>
    <s v="Personal Care"/>
    <n v="4.5199999999999996"/>
    <n v="5"/>
    <n v="1.58"/>
    <n v="24.18"/>
    <n v="0"/>
    <x v="0"/>
  </r>
  <r>
    <n v="652"/>
    <s v="A"/>
    <s v="Chicago"/>
    <s v="Member"/>
    <s v="Female"/>
    <s v="Orange Juice"/>
    <s v="Beverages"/>
    <n v="13.53"/>
    <n v="18"/>
    <n v="17.05"/>
    <n v="260.58999999999997"/>
    <n v="26"/>
    <x v="0"/>
  </r>
  <r>
    <n v="653"/>
    <s v="C"/>
    <s v="New York"/>
    <s v="Normal"/>
    <s v="Male"/>
    <s v="Detergent"/>
    <s v="Household"/>
    <n v="19.71"/>
    <n v="16"/>
    <n v="22.08"/>
    <n v="337.44"/>
    <n v="0"/>
    <x v="0"/>
  </r>
  <r>
    <n v="654"/>
    <s v="A"/>
    <s v="Chicago"/>
    <s v="Member"/>
    <s v="Female"/>
    <s v="Detergent"/>
    <s v="Household"/>
    <n v="10.14"/>
    <n v="14"/>
    <n v="9.94"/>
    <n v="151.9"/>
    <n v="15"/>
    <x v="0"/>
  </r>
  <r>
    <n v="655"/>
    <s v="B"/>
    <s v="Los Angeles"/>
    <s v="Member"/>
    <s v="Male"/>
    <s v="Shampoo"/>
    <s v="Personal Care"/>
    <n v="11.2"/>
    <n v="4"/>
    <n v="3.14"/>
    <n v="47.94"/>
    <n v="4"/>
    <x v="0"/>
  </r>
  <r>
    <n v="656"/>
    <s v="A"/>
    <s v="Chicago"/>
    <s v="Member"/>
    <s v="Female"/>
    <s v="Apple"/>
    <s v="Fruits"/>
    <n v="2.0099999999999998"/>
    <n v="3"/>
    <n v="0.42"/>
    <n v="6.45"/>
    <n v="0"/>
    <x v="0"/>
  </r>
  <r>
    <n v="657"/>
    <s v="C"/>
    <s v="New York"/>
    <s v="Member"/>
    <s v="Male"/>
    <s v="Detergent"/>
    <s v="Household"/>
    <n v="4.1399999999999997"/>
    <n v="2"/>
    <n v="0.57999999999999996"/>
    <n v="8.86"/>
    <n v="0"/>
    <x v="0"/>
  </r>
  <r>
    <n v="658"/>
    <s v="A"/>
    <s v="Chicago"/>
    <s v="Normal"/>
    <s v="Female"/>
    <s v="Orange Juice"/>
    <s v="Beverages"/>
    <n v="16.47"/>
    <n v="16"/>
    <n v="18.45"/>
    <n v="281.97000000000003"/>
    <n v="0"/>
    <x v="0"/>
  </r>
  <r>
    <n v="659"/>
    <s v="A"/>
    <s v="Chicago"/>
    <s v="Member"/>
    <s v="Male"/>
    <s v="Orange Juice"/>
    <s v="Beverages"/>
    <n v="12.7"/>
    <n v="4"/>
    <n v="3.56"/>
    <n v="54.36"/>
    <n v="5"/>
    <x v="0"/>
  </r>
  <r>
    <n v="660"/>
    <s v="B"/>
    <s v="Los Angeles"/>
    <s v="Member"/>
    <s v="Female"/>
    <s v="Notebook"/>
    <s v="Stationery"/>
    <n v="10.72"/>
    <n v="18"/>
    <n v="13.51"/>
    <n v="206.47"/>
    <n v="20"/>
    <x v="0"/>
  </r>
  <r>
    <n v="661"/>
    <s v="C"/>
    <s v="New York"/>
    <s v="Member"/>
    <s v="Female"/>
    <s v="Shampoo"/>
    <s v="Personal Care"/>
    <n v="15.29"/>
    <n v="3"/>
    <n v="3.21"/>
    <n v="49.08"/>
    <n v="4"/>
    <x v="0"/>
  </r>
  <r>
    <n v="662"/>
    <s v="C"/>
    <s v="New York"/>
    <s v="Member"/>
    <s v="Male"/>
    <s v="Notebook"/>
    <s v="Stationery"/>
    <n v="12.5"/>
    <n v="14"/>
    <n v="12.25"/>
    <n v="187.25"/>
    <n v="18"/>
    <x v="0"/>
  </r>
  <r>
    <n v="663"/>
    <s v="B"/>
    <s v="Los Angeles"/>
    <s v="Member"/>
    <s v="Male"/>
    <s v="Orange Juice"/>
    <s v="Beverages"/>
    <n v="18.95"/>
    <n v="18"/>
    <n v="23.88"/>
    <n v="364.98"/>
    <n v="36"/>
    <x v="0"/>
  </r>
  <r>
    <n v="664"/>
    <s v="C"/>
    <s v="New York"/>
    <s v="Normal"/>
    <s v="Male"/>
    <s v="Shampoo"/>
    <s v="Personal Care"/>
    <n v="13.71"/>
    <n v="14"/>
    <n v="13.44"/>
    <n v="205.38"/>
    <n v="0"/>
    <x v="0"/>
  </r>
  <r>
    <n v="665"/>
    <s v="B"/>
    <s v="Los Angeles"/>
    <s v="Normal"/>
    <s v="Male"/>
    <s v="Shampoo"/>
    <s v="Personal Care"/>
    <n v="8.36"/>
    <n v="2"/>
    <n v="1.17"/>
    <n v="17.89"/>
    <n v="0"/>
    <x v="0"/>
  </r>
  <r>
    <n v="666"/>
    <s v="A"/>
    <s v="Chicago"/>
    <s v="Normal"/>
    <s v="Female"/>
    <s v="Detergent"/>
    <s v="Household"/>
    <n v="14.62"/>
    <n v="1"/>
    <n v="1.02"/>
    <n v="15.64"/>
    <n v="0"/>
    <x v="0"/>
  </r>
  <r>
    <n v="667"/>
    <s v="B"/>
    <s v="Los Angeles"/>
    <s v="Normal"/>
    <s v="Female"/>
    <s v="Detergent"/>
    <s v="Household"/>
    <n v="13.93"/>
    <n v="16"/>
    <n v="15.6"/>
    <n v="238.48"/>
    <n v="0"/>
    <x v="0"/>
  </r>
  <r>
    <n v="668"/>
    <s v="C"/>
    <s v="New York"/>
    <s v="Member"/>
    <s v="Male"/>
    <s v="Detergent"/>
    <s v="Household"/>
    <n v="18"/>
    <n v="13"/>
    <n v="16.38"/>
    <n v="250.38"/>
    <n v="25"/>
    <x v="0"/>
  </r>
  <r>
    <n v="669"/>
    <s v="A"/>
    <s v="Chicago"/>
    <s v="Member"/>
    <s v="Female"/>
    <s v="Apple"/>
    <s v="Fruits"/>
    <n v="14.55"/>
    <n v="4"/>
    <n v="4.07"/>
    <n v="62.27"/>
    <n v="6"/>
    <x v="0"/>
  </r>
  <r>
    <n v="670"/>
    <s v="C"/>
    <s v="New York"/>
    <s v="Member"/>
    <s v="Female"/>
    <s v="Shampoo"/>
    <s v="Personal Care"/>
    <n v="17.399999999999999"/>
    <n v="8"/>
    <n v="9.74"/>
    <n v="148.94"/>
    <n v="14"/>
    <x v="0"/>
  </r>
  <r>
    <n v="671"/>
    <s v="C"/>
    <s v="New York"/>
    <s v="Member"/>
    <s v="Male"/>
    <s v="Orange Juice"/>
    <s v="Beverages"/>
    <n v="2.4700000000000002"/>
    <n v="4"/>
    <n v="0.69"/>
    <n v="10.57"/>
    <n v="1"/>
    <x v="0"/>
  </r>
  <r>
    <n v="672"/>
    <s v="B"/>
    <s v="Los Angeles"/>
    <s v="Member"/>
    <s v="Male"/>
    <s v="Notebook"/>
    <s v="Stationery"/>
    <n v="7.03"/>
    <n v="16"/>
    <n v="7.87"/>
    <n v="120.35"/>
    <n v="12"/>
    <x v="0"/>
  </r>
  <r>
    <n v="673"/>
    <s v="A"/>
    <s v="Chicago"/>
    <s v="Member"/>
    <s v="Male"/>
    <s v="Shampoo"/>
    <s v="Personal Care"/>
    <n v="17.59"/>
    <n v="1"/>
    <n v="1.23"/>
    <n v="18.82"/>
    <n v="1"/>
    <x v="0"/>
  </r>
  <r>
    <n v="674"/>
    <s v="A"/>
    <s v="Chicago"/>
    <s v="Member"/>
    <s v="Male"/>
    <s v="Orange Juice"/>
    <s v="Beverages"/>
    <n v="17.600000000000001"/>
    <n v="5"/>
    <n v="6.16"/>
    <n v="94.16"/>
    <n v="9"/>
    <x v="0"/>
  </r>
  <r>
    <n v="675"/>
    <s v="B"/>
    <s v="Los Angeles"/>
    <s v="Normal"/>
    <s v="Male"/>
    <s v="Orange Juice"/>
    <s v="Beverages"/>
    <n v="10.42"/>
    <n v="3"/>
    <n v="2.19"/>
    <n v="33.450000000000003"/>
    <n v="0"/>
    <x v="0"/>
  </r>
  <r>
    <n v="676"/>
    <s v="B"/>
    <s v="Los Angeles"/>
    <s v="Normal"/>
    <s v="Male"/>
    <s v="Detergent"/>
    <s v="Household"/>
    <n v="10.82"/>
    <n v="9"/>
    <n v="6.82"/>
    <n v="104.2"/>
    <n v="0"/>
    <x v="0"/>
  </r>
  <r>
    <n v="677"/>
    <s v="C"/>
    <s v="New York"/>
    <s v="Member"/>
    <s v="Male"/>
    <s v="Shampoo"/>
    <s v="Personal Care"/>
    <n v="16.489999999999998"/>
    <n v="4"/>
    <n v="4.62"/>
    <n v="70.58"/>
    <n v="7"/>
    <x v="0"/>
  </r>
  <r>
    <n v="678"/>
    <s v="C"/>
    <s v="New York"/>
    <s v="Member"/>
    <s v="Male"/>
    <s v="Orange Juice"/>
    <s v="Beverages"/>
    <n v="4.58"/>
    <n v="7"/>
    <n v="2.2400000000000002"/>
    <n v="34.299999999999997"/>
    <n v="3"/>
    <x v="0"/>
  </r>
  <r>
    <n v="679"/>
    <s v="B"/>
    <s v="Los Angeles"/>
    <s v="Normal"/>
    <s v="Male"/>
    <s v="Apple"/>
    <s v="Fruits"/>
    <n v="4.5199999999999996"/>
    <n v="11"/>
    <n v="3.48"/>
    <n v="53.2"/>
    <n v="0"/>
    <x v="0"/>
  </r>
  <r>
    <n v="680"/>
    <s v="A"/>
    <s v="Chicago"/>
    <s v="Member"/>
    <s v="Female"/>
    <s v="Detergent"/>
    <s v="Household"/>
    <n v="15.75"/>
    <n v="18"/>
    <n v="19.850000000000001"/>
    <n v="303.35000000000002"/>
    <n v="30"/>
    <x v="0"/>
  </r>
  <r>
    <n v="681"/>
    <s v="A"/>
    <s v="Chicago"/>
    <s v="Normal"/>
    <s v="Male"/>
    <s v="Detergent"/>
    <s v="Household"/>
    <n v="14.31"/>
    <n v="7"/>
    <n v="7.01"/>
    <n v="107.18"/>
    <n v="0"/>
    <x v="0"/>
  </r>
  <r>
    <n v="682"/>
    <s v="A"/>
    <s v="Chicago"/>
    <s v="Member"/>
    <s v="Female"/>
    <s v="Apple"/>
    <s v="Fruits"/>
    <n v="19.77"/>
    <n v="8"/>
    <n v="11.07"/>
    <n v="169.23"/>
    <n v="16"/>
    <x v="0"/>
  </r>
  <r>
    <n v="683"/>
    <s v="C"/>
    <s v="New York"/>
    <s v="Member"/>
    <s v="Male"/>
    <s v="Detergent"/>
    <s v="Household"/>
    <n v="14.37"/>
    <n v="13"/>
    <n v="13.08"/>
    <n v="199.89"/>
    <n v="19"/>
    <x v="0"/>
  </r>
  <r>
    <n v="684"/>
    <s v="C"/>
    <s v="New York"/>
    <s v="Member"/>
    <s v="Female"/>
    <s v="Shampoo"/>
    <s v="Personal Care"/>
    <n v="13.05"/>
    <n v="14"/>
    <n v="12.79"/>
    <n v="195.49"/>
    <n v="19"/>
    <x v="0"/>
  </r>
  <r>
    <n v="685"/>
    <s v="C"/>
    <s v="New York"/>
    <s v="Normal"/>
    <s v="Female"/>
    <s v="Apple"/>
    <s v="Fruits"/>
    <n v="3.48"/>
    <n v="3"/>
    <n v="0.73"/>
    <n v="11.17"/>
    <n v="0"/>
    <x v="0"/>
  </r>
  <r>
    <n v="686"/>
    <s v="A"/>
    <s v="Chicago"/>
    <s v="Normal"/>
    <s v="Female"/>
    <s v="Notebook"/>
    <s v="Stationery"/>
    <n v="4.33"/>
    <n v="2"/>
    <n v="0.61"/>
    <n v="9.27"/>
    <n v="0"/>
    <x v="0"/>
  </r>
  <r>
    <n v="687"/>
    <s v="A"/>
    <s v="Chicago"/>
    <s v="Member"/>
    <s v="Male"/>
    <s v="Orange Juice"/>
    <s v="Beverages"/>
    <n v="4.09"/>
    <n v="6"/>
    <n v="1.72"/>
    <n v="26.26"/>
    <n v="2"/>
    <x v="0"/>
  </r>
  <r>
    <n v="688"/>
    <s v="C"/>
    <s v="New York"/>
    <s v="Member"/>
    <s v="Female"/>
    <s v="Detergent"/>
    <s v="Household"/>
    <n v="4.58"/>
    <n v="5"/>
    <n v="1.6"/>
    <n v="24.5"/>
    <n v="2"/>
    <x v="0"/>
  </r>
  <r>
    <n v="689"/>
    <s v="C"/>
    <s v="New York"/>
    <s v="Normal"/>
    <s v="Female"/>
    <s v="Orange Juice"/>
    <s v="Beverages"/>
    <n v="2.37"/>
    <n v="3"/>
    <n v="0.5"/>
    <n v="7.61"/>
    <n v="0"/>
    <x v="0"/>
  </r>
  <r>
    <n v="690"/>
    <s v="C"/>
    <s v="New York"/>
    <s v="Member"/>
    <s v="Female"/>
    <s v="Notebook"/>
    <s v="Stationery"/>
    <n v="4.1399999999999997"/>
    <n v="15"/>
    <n v="4.3499999999999996"/>
    <n v="66.45"/>
    <n v="6"/>
    <x v="0"/>
  </r>
  <r>
    <n v="691"/>
    <s v="C"/>
    <s v="New York"/>
    <s v="Normal"/>
    <s v="Male"/>
    <s v="Shampoo"/>
    <s v="Personal Care"/>
    <n v="7.73"/>
    <n v="15"/>
    <n v="8.1199999999999992"/>
    <n v="124.07"/>
    <n v="0"/>
    <x v="0"/>
  </r>
  <r>
    <n v="692"/>
    <s v="B"/>
    <s v="Los Angeles"/>
    <s v="Member"/>
    <s v="Male"/>
    <s v="Apple"/>
    <s v="Fruits"/>
    <n v="4.93"/>
    <n v="5"/>
    <n v="1.73"/>
    <n v="26.38"/>
    <n v="2"/>
    <x v="0"/>
  </r>
  <r>
    <n v="693"/>
    <s v="B"/>
    <s v="Los Angeles"/>
    <s v="Normal"/>
    <s v="Male"/>
    <s v="Apple"/>
    <s v="Fruits"/>
    <n v="5.47"/>
    <n v="6"/>
    <n v="2.2999999999999998"/>
    <n v="35.119999999999997"/>
    <n v="0"/>
    <x v="0"/>
  </r>
  <r>
    <n v="694"/>
    <s v="C"/>
    <s v="New York"/>
    <s v="Member"/>
    <s v="Female"/>
    <s v="Detergent"/>
    <s v="Household"/>
    <n v="6.05"/>
    <n v="6"/>
    <n v="2.54"/>
    <n v="38.840000000000003"/>
    <n v="3"/>
    <x v="0"/>
  </r>
  <r>
    <n v="695"/>
    <s v="C"/>
    <s v="New York"/>
    <s v="Normal"/>
    <s v="Female"/>
    <s v="Notebook"/>
    <s v="Stationery"/>
    <n v="6.56"/>
    <n v="11"/>
    <n v="5.05"/>
    <n v="77.209999999999994"/>
    <n v="0"/>
    <x v="0"/>
  </r>
  <r>
    <n v="696"/>
    <s v="A"/>
    <s v="Chicago"/>
    <s v="Member"/>
    <s v="Female"/>
    <s v="Detergent"/>
    <s v="Household"/>
    <n v="7.46"/>
    <n v="19"/>
    <n v="9.92"/>
    <n v="151.66"/>
    <n v="15"/>
    <x v="0"/>
  </r>
  <r>
    <n v="697"/>
    <s v="B"/>
    <s v="Los Angeles"/>
    <s v="Normal"/>
    <s v="Female"/>
    <s v="Detergent"/>
    <s v="Household"/>
    <n v="19.03"/>
    <n v="14"/>
    <n v="18.649999999999999"/>
    <n v="285.07"/>
    <n v="0"/>
    <x v="0"/>
  </r>
  <r>
    <n v="698"/>
    <s v="A"/>
    <s v="Chicago"/>
    <s v="Normal"/>
    <s v="Female"/>
    <s v="Apple"/>
    <s v="Fruits"/>
    <n v="18.52"/>
    <n v="2"/>
    <n v="2.59"/>
    <n v="39.630000000000003"/>
    <n v="0"/>
    <x v="0"/>
  </r>
  <r>
    <n v="699"/>
    <s v="B"/>
    <s v="Los Angeles"/>
    <s v="Normal"/>
    <s v="Female"/>
    <s v="Orange Juice"/>
    <s v="Beverages"/>
    <n v="13.05"/>
    <n v="1"/>
    <n v="0.91"/>
    <n v="13.96"/>
    <n v="0"/>
    <x v="0"/>
  </r>
  <r>
    <n v="700"/>
    <s v="A"/>
    <s v="Chicago"/>
    <s v="Normal"/>
    <s v="Male"/>
    <s v="Shampoo"/>
    <s v="Personal Care"/>
    <n v="12.81"/>
    <n v="20"/>
    <n v="17.93"/>
    <n v="274.13"/>
    <n v="0"/>
    <x v="0"/>
  </r>
  <r>
    <n v="701"/>
    <s v="A"/>
    <s v="Chicago"/>
    <s v="Normal"/>
    <s v="Female"/>
    <s v="Apple"/>
    <s v="Fruits"/>
    <n v="14.78"/>
    <n v="16"/>
    <n v="16.55"/>
    <n v="253.03"/>
    <n v="0"/>
    <x v="0"/>
  </r>
  <r>
    <n v="702"/>
    <s v="C"/>
    <s v="New York"/>
    <s v="Member"/>
    <s v="Male"/>
    <s v="Detergent"/>
    <s v="Household"/>
    <n v="18.54"/>
    <n v="13"/>
    <n v="16.87"/>
    <n v="257.89"/>
    <n v="25"/>
    <x v="0"/>
  </r>
  <r>
    <n v="703"/>
    <s v="C"/>
    <s v="New York"/>
    <s v="Normal"/>
    <s v="Female"/>
    <s v="Notebook"/>
    <s v="Stationery"/>
    <n v="15.61"/>
    <n v="19"/>
    <n v="20.76"/>
    <n v="317.35000000000002"/>
    <n v="0"/>
    <x v="0"/>
  </r>
  <r>
    <n v="704"/>
    <s v="C"/>
    <s v="New York"/>
    <s v="Member"/>
    <s v="Male"/>
    <s v="Shampoo"/>
    <s v="Personal Care"/>
    <n v="17.93"/>
    <n v="11"/>
    <n v="13.81"/>
    <n v="211.04"/>
    <n v="21"/>
    <x v="0"/>
  </r>
  <r>
    <n v="705"/>
    <s v="B"/>
    <s v="Los Angeles"/>
    <s v="Normal"/>
    <s v="Female"/>
    <s v="Detergent"/>
    <s v="Household"/>
    <n v="7.6"/>
    <n v="17"/>
    <n v="9.0399999999999991"/>
    <n v="138.24"/>
    <n v="0"/>
    <x v="0"/>
  </r>
  <r>
    <n v="706"/>
    <s v="A"/>
    <s v="Chicago"/>
    <s v="Member"/>
    <s v="Male"/>
    <s v="Apple"/>
    <s v="Fruits"/>
    <n v="19.82"/>
    <n v="10"/>
    <n v="13.87"/>
    <n v="212.07"/>
    <n v="21"/>
    <x v="0"/>
  </r>
  <r>
    <n v="707"/>
    <s v="A"/>
    <s v="Chicago"/>
    <s v="Member"/>
    <s v="Female"/>
    <s v="Orange Juice"/>
    <s v="Beverages"/>
    <n v="10.89"/>
    <n v="18"/>
    <n v="13.72"/>
    <n v="209.74"/>
    <n v="20"/>
    <x v="0"/>
  </r>
  <r>
    <n v="708"/>
    <s v="A"/>
    <s v="Chicago"/>
    <s v="Normal"/>
    <s v="Female"/>
    <s v="Orange Juice"/>
    <s v="Beverages"/>
    <n v="8.75"/>
    <n v="5"/>
    <n v="3.06"/>
    <n v="46.81"/>
    <n v="0"/>
    <x v="0"/>
  </r>
  <r>
    <n v="709"/>
    <s v="B"/>
    <s v="Los Angeles"/>
    <s v="Member"/>
    <s v="Male"/>
    <s v="Notebook"/>
    <s v="Stationery"/>
    <n v="1.42"/>
    <n v="2"/>
    <n v="0.2"/>
    <n v="3.04"/>
    <n v="0"/>
    <x v="0"/>
  </r>
  <r>
    <n v="710"/>
    <s v="A"/>
    <s v="Chicago"/>
    <s v="Normal"/>
    <s v="Male"/>
    <s v="Orange Juice"/>
    <s v="Beverages"/>
    <n v="14.45"/>
    <n v="18"/>
    <n v="18.21"/>
    <n v="278.31"/>
    <n v="0"/>
    <x v="0"/>
  </r>
  <r>
    <n v="711"/>
    <s v="B"/>
    <s v="Los Angeles"/>
    <s v="Member"/>
    <s v="Female"/>
    <s v="Orange Juice"/>
    <s v="Beverages"/>
    <n v="3.52"/>
    <n v="7"/>
    <n v="1.72"/>
    <n v="26.36"/>
    <n v="2"/>
    <x v="0"/>
  </r>
  <r>
    <n v="712"/>
    <s v="A"/>
    <s v="Chicago"/>
    <s v="Member"/>
    <s v="Male"/>
    <s v="Shampoo"/>
    <s v="Personal Care"/>
    <n v="17.93"/>
    <n v="11"/>
    <n v="13.81"/>
    <n v="211.04"/>
    <n v="21"/>
    <x v="0"/>
  </r>
  <r>
    <n v="713"/>
    <s v="B"/>
    <s v="Los Angeles"/>
    <s v="Member"/>
    <s v="Female"/>
    <s v="Shampoo"/>
    <s v="Personal Care"/>
    <n v="6.21"/>
    <n v="3"/>
    <n v="1.3"/>
    <n v="19.93"/>
    <n v="1"/>
    <x v="0"/>
  </r>
  <r>
    <n v="714"/>
    <s v="C"/>
    <s v="New York"/>
    <s v="Member"/>
    <s v="Male"/>
    <s v="Orange Juice"/>
    <s v="Beverages"/>
    <n v="13.68"/>
    <n v="3"/>
    <n v="2.87"/>
    <n v="43.91"/>
    <n v="4"/>
    <x v="0"/>
  </r>
  <r>
    <n v="715"/>
    <s v="A"/>
    <s v="Chicago"/>
    <s v="Normal"/>
    <s v="Male"/>
    <s v="Orange Juice"/>
    <s v="Beverages"/>
    <n v="11.7"/>
    <n v="6"/>
    <n v="4.91"/>
    <n v="75.11"/>
    <n v="0"/>
    <x v="0"/>
  </r>
  <r>
    <n v="716"/>
    <s v="C"/>
    <s v="New York"/>
    <s v="Member"/>
    <s v="Female"/>
    <s v="Shampoo"/>
    <s v="Personal Care"/>
    <n v="18.27"/>
    <n v="16"/>
    <n v="20.46"/>
    <n v="312.77999999999997"/>
    <n v="31"/>
    <x v="0"/>
  </r>
  <r>
    <n v="717"/>
    <s v="A"/>
    <s v="Chicago"/>
    <s v="Member"/>
    <s v="Male"/>
    <s v="Apple"/>
    <s v="Fruits"/>
    <n v="2.4700000000000002"/>
    <n v="16"/>
    <n v="2.77"/>
    <n v="42.29"/>
    <n v="4"/>
    <x v="0"/>
  </r>
  <r>
    <n v="718"/>
    <s v="C"/>
    <s v="New York"/>
    <s v="Normal"/>
    <s v="Male"/>
    <s v="Shampoo"/>
    <s v="Personal Care"/>
    <n v="2.81"/>
    <n v="20"/>
    <n v="3.93"/>
    <n v="60.13"/>
    <n v="0"/>
    <x v="0"/>
  </r>
  <r>
    <n v="719"/>
    <s v="A"/>
    <s v="Chicago"/>
    <s v="Normal"/>
    <s v="Female"/>
    <s v="Orange Juice"/>
    <s v="Beverages"/>
    <n v="5.87"/>
    <n v="19"/>
    <n v="7.81"/>
    <n v="119.34"/>
    <n v="0"/>
    <x v="0"/>
  </r>
  <r>
    <n v="720"/>
    <s v="A"/>
    <s v="Chicago"/>
    <s v="Member"/>
    <s v="Female"/>
    <s v="Apple"/>
    <s v="Fruits"/>
    <n v="1.0900000000000001"/>
    <n v="20"/>
    <n v="1.53"/>
    <n v="23.33"/>
    <n v="2"/>
    <x v="0"/>
  </r>
  <r>
    <n v="721"/>
    <s v="A"/>
    <s v="Chicago"/>
    <s v="Member"/>
    <s v="Female"/>
    <s v="Detergent"/>
    <s v="Household"/>
    <n v="20.04"/>
    <n v="15"/>
    <n v="21.04"/>
    <n v="321.64"/>
    <n v="32"/>
    <x v="0"/>
  </r>
  <r>
    <n v="722"/>
    <s v="C"/>
    <s v="New York"/>
    <s v="Member"/>
    <s v="Female"/>
    <s v="Shampoo"/>
    <s v="Personal Care"/>
    <n v="17.96"/>
    <n v="1"/>
    <n v="1.26"/>
    <n v="19.22"/>
    <n v="1"/>
    <x v="0"/>
  </r>
  <r>
    <n v="723"/>
    <s v="B"/>
    <s v="Los Angeles"/>
    <s v="Member"/>
    <s v="Male"/>
    <s v="Shampoo"/>
    <s v="Personal Care"/>
    <n v="14.97"/>
    <n v="13"/>
    <n v="13.62"/>
    <n v="208.23"/>
    <n v="20"/>
    <x v="0"/>
  </r>
  <r>
    <n v="724"/>
    <s v="A"/>
    <s v="Chicago"/>
    <s v="Member"/>
    <s v="Male"/>
    <s v="Shampoo"/>
    <s v="Personal Care"/>
    <n v="15.53"/>
    <n v="12"/>
    <n v="13.05"/>
    <n v="199.41"/>
    <n v="19"/>
    <x v="0"/>
  </r>
  <r>
    <n v="725"/>
    <s v="C"/>
    <s v="New York"/>
    <s v="Member"/>
    <s v="Female"/>
    <s v="Detergent"/>
    <s v="Household"/>
    <n v="7.83"/>
    <n v="15"/>
    <n v="8.2200000000000006"/>
    <n v="125.67"/>
    <n v="12"/>
    <x v="0"/>
  </r>
  <r>
    <n v="726"/>
    <s v="B"/>
    <s v="Los Angeles"/>
    <s v="Member"/>
    <s v="Male"/>
    <s v="Apple"/>
    <s v="Fruits"/>
    <n v="10.11"/>
    <n v="1"/>
    <n v="0.71"/>
    <n v="10.82"/>
    <n v="1"/>
    <x v="0"/>
  </r>
  <r>
    <n v="727"/>
    <s v="C"/>
    <s v="New York"/>
    <s v="Member"/>
    <s v="Male"/>
    <s v="Apple"/>
    <s v="Fruits"/>
    <n v="6"/>
    <n v="16"/>
    <n v="6.72"/>
    <n v="102.72"/>
    <n v="10"/>
    <x v="0"/>
  </r>
  <r>
    <n v="728"/>
    <s v="C"/>
    <s v="New York"/>
    <s v="Member"/>
    <s v="Female"/>
    <s v="Notebook"/>
    <s v="Stationery"/>
    <n v="9.32"/>
    <n v="20"/>
    <n v="13.05"/>
    <n v="199.45"/>
    <n v="19"/>
    <x v="0"/>
  </r>
  <r>
    <n v="729"/>
    <s v="A"/>
    <s v="Chicago"/>
    <s v="Normal"/>
    <s v="Male"/>
    <s v="Detergent"/>
    <s v="Household"/>
    <n v="2.93"/>
    <n v="14"/>
    <n v="2.87"/>
    <n v="43.89"/>
    <n v="0"/>
    <x v="0"/>
  </r>
  <r>
    <n v="730"/>
    <s v="A"/>
    <s v="Chicago"/>
    <s v="Member"/>
    <s v="Male"/>
    <s v="Detergent"/>
    <s v="Household"/>
    <n v="12.67"/>
    <n v="11"/>
    <n v="9.76"/>
    <n v="149.13"/>
    <n v="14"/>
    <x v="0"/>
  </r>
  <r>
    <n v="731"/>
    <s v="A"/>
    <s v="Chicago"/>
    <s v="Member"/>
    <s v="Male"/>
    <s v="Notebook"/>
    <s v="Stationery"/>
    <n v="7.74"/>
    <n v="10"/>
    <n v="5.42"/>
    <n v="82.82"/>
    <n v="8"/>
    <x v="0"/>
  </r>
  <r>
    <n v="732"/>
    <s v="A"/>
    <s v="Chicago"/>
    <s v="Normal"/>
    <s v="Female"/>
    <s v="Detergent"/>
    <s v="Household"/>
    <n v="2.4"/>
    <n v="17"/>
    <n v="2.86"/>
    <n v="43.66"/>
    <n v="0"/>
    <x v="0"/>
  </r>
  <r>
    <n v="733"/>
    <s v="B"/>
    <s v="Los Angeles"/>
    <s v="Normal"/>
    <s v="Male"/>
    <s v="Detergent"/>
    <s v="Household"/>
    <n v="5.43"/>
    <n v="16"/>
    <n v="6.08"/>
    <n v="92.96"/>
    <n v="0"/>
    <x v="0"/>
  </r>
  <r>
    <n v="734"/>
    <s v="B"/>
    <s v="Los Angeles"/>
    <s v="Member"/>
    <s v="Male"/>
    <s v="Notebook"/>
    <s v="Stationery"/>
    <n v="14.92"/>
    <n v="17"/>
    <n v="17.75"/>
    <n v="271.39"/>
    <n v="27"/>
    <x v="0"/>
  </r>
  <r>
    <n v="735"/>
    <s v="C"/>
    <s v="New York"/>
    <s v="Member"/>
    <s v="Female"/>
    <s v="Detergent"/>
    <s v="Household"/>
    <n v="12.85"/>
    <n v="2"/>
    <n v="1.8"/>
    <n v="27.5"/>
    <n v="2"/>
    <x v="0"/>
  </r>
  <r>
    <n v="736"/>
    <s v="C"/>
    <s v="New York"/>
    <s v="Member"/>
    <s v="Male"/>
    <s v="Shampoo"/>
    <s v="Personal Care"/>
    <n v="16.190000000000001"/>
    <n v="9"/>
    <n v="10.199999999999999"/>
    <n v="155.91"/>
    <n v="15"/>
    <x v="0"/>
  </r>
  <r>
    <n v="737"/>
    <s v="C"/>
    <s v="New York"/>
    <s v="Member"/>
    <s v="Female"/>
    <s v="Apple"/>
    <s v="Fruits"/>
    <n v="8.4700000000000006"/>
    <n v="15"/>
    <n v="8.89"/>
    <n v="135.94"/>
    <n v="13"/>
    <x v="0"/>
  </r>
  <r>
    <n v="738"/>
    <s v="B"/>
    <s v="Los Angeles"/>
    <s v="Member"/>
    <s v="Female"/>
    <s v="Notebook"/>
    <s v="Stationery"/>
    <n v="7.94"/>
    <n v="8"/>
    <n v="4.45"/>
    <n v="67.97"/>
    <n v="6"/>
    <x v="0"/>
  </r>
  <r>
    <n v="739"/>
    <s v="A"/>
    <s v="Chicago"/>
    <s v="Normal"/>
    <s v="Male"/>
    <s v="Notebook"/>
    <s v="Stationery"/>
    <n v="18.04"/>
    <n v="18"/>
    <n v="22.73"/>
    <n v="347.45"/>
    <n v="0"/>
    <x v="0"/>
  </r>
  <r>
    <n v="740"/>
    <s v="C"/>
    <s v="New York"/>
    <s v="Normal"/>
    <s v="Female"/>
    <s v="Apple"/>
    <s v="Fruits"/>
    <n v="7.15"/>
    <n v="10"/>
    <n v="5.01"/>
    <n v="76.510000000000005"/>
    <n v="0"/>
    <x v="0"/>
  </r>
  <r>
    <n v="741"/>
    <s v="C"/>
    <s v="New York"/>
    <s v="Member"/>
    <s v="Male"/>
    <s v="Notebook"/>
    <s v="Stationery"/>
    <n v="9.92"/>
    <n v="3"/>
    <n v="2.08"/>
    <n v="31.84"/>
    <n v="3"/>
    <x v="0"/>
  </r>
  <r>
    <n v="742"/>
    <s v="A"/>
    <s v="Chicago"/>
    <s v="Normal"/>
    <s v="Male"/>
    <s v="Shampoo"/>
    <s v="Personal Care"/>
    <n v="9.3699999999999992"/>
    <n v="9"/>
    <n v="5.9"/>
    <n v="90.23"/>
    <n v="0"/>
    <x v="0"/>
  </r>
  <r>
    <n v="743"/>
    <s v="A"/>
    <s v="Chicago"/>
    <s v="Member"/>
    <s v="Female"/>
    <s v="Notebook"/>
    <s v="Stationery"/>
    <n v="9.06"/>
    <n v="16"/>
    <n v="10.15"/>
    <n v="155.11000000000001"/>
    <n v="15"/>
    <x v="0"/>
  </r>
  <r>
    <n v="744"/>
    <s v="B"/>
    <s v="Los Angeles"/>
    <s v="Normal"/>
    <s v="Male"/>
    <s v="Detergent"/>
    <s v="Household"/>
    <n v="16.32"/>
    <n v="1"/>
    <n v="1.1399999999999999"/>
    <n v="17.46"/>
    <n v="0"/>
    <x v="0"/>
  </r>
  <r>
    <n v="745"/>
    <s v="A"/>
    <s v="Chicago"/>
    <s v="Member"/>
    <s v="Male"/>
    <s v="Orange Juice"/>
    <s v="Beverages"/>
    <n v="20.23"/>
    <n v="14"/>
    <n v="19.829999999999998"/>
    <n v="303.05"/>
    <n v="30"/>
    <x v="0"/>
  </r>
  <r>
    <n v="746"/>
    <s v="A"/>
    <s v="Chicago"/>
    <s v="Member"/>
    <s v="Female"/>
    <s v="Shampoo"/>
    <s v="Personal Care"/>
    <n v="9.25"/>
    <n v="14"/>
    <n v="9.07"/>
    <n v="138.57"/>
    <n v="13"/>
    <x v="0"/>
  </r>
  <r>
    <n v="747"/>
    <s v="C"/>
    <s v="New York"/>
    <s v="Normal"/>
    <s v="Male"/>
    <s v="Orange Juice"/>
    <s v="Beverages"/>
    <n v="16.84"/>
    <n v="1"/>
    <n v="1.18"/>
    <n v="18.02"/>
    <n v="0"/>
    <x v="0"/>
  </r>
  <r>
    <n v="748"/>
    <s v="B"/>
    <s v="Los Angeles"/>
    <s v="Normal"/>
    <s v="Female"/>
    <s v="Notebook"/>
    <s v="Stationery"/>
    <n v="6.61"/>
    <n v="4"/>
    <n v="1.85"/>
    <n v="28.29"/>
    <n v="0"/>
    <x v="0"/>
  </r>
  <r>
    <n v="749"/>
    <s v="A"/>
    <s v="Chicago"/>
    <s v="Normal"/>
    <s v="Female"/>
    <s v="Notebook"/>
    <s v="Stationery"/>
    <n v="13.59"/>
    <n v="12"/>
    <n v="11.42"/>
    <n v="174.5"/>
    <n v="0"/>
    <x v="0"/>
  </r>
  <r>
    <n v="750"/>
    <s v="C"/>
    <s v="New York"/>
    <s v="Member"/>
    <s v="Male"/>
    <s v="Detergent"/>
    <s v="Household"/>
    <n v="18.32"/>
    <n v="14"/>
    <n v="17.95"/>
    <n v="274.43"/>
    <n v="27"/>
    <x v="0"/>
  </r>
  <r>
    <n v="751"/>
    <s v="A"/>
    <s v="Chicago"/>
    <s v="Normal"/>
    <s v="Male"/>
    <s v="Apple"/>
    <s v="Fruits"/>
    <n v="12.14"/>
    <n v="20"/>
    <n v="17"/>
    <n v="259.8"/>
    <n v="0"/>
    <x v="0"/>
  </r>
  <r>
    <n v="752"/>
    <s v="A"/>
    <s v="Chicago"/>
    <s v="Member"/>
    <s v="Female"/>
    <s v="Detergent"/>
    <s v="Household"/>
    <n v="7.98"/>
    <n v="3"/>
    <n v="1.68"/>
    <n v="25.62"/>
    <n v="2"/>
    <x v="0"/>
  </r>
  <r>
    <n v="753"/>
    <s v="B"/>
    <s v="Los Angeles"/>
    <s v="Member"/>
    <s v="Male"/>
    <s v="Orange Juice"/>
    <s v="Beverages"/>
    <n v="7.87"/>
    <n v="3"/>
    <n v="1.65"/>
    <n v="25.26"/>
    <n v="2"/>
    <x v="0"/>
  </r>
  <r>
    <n v="754"/>
    <s v="A"/>
    <s v="Chicago"/>
    <s v="Normal"/>
    <s v="Male"/>
    <s v="Orange Juice"/>
    <s v="Beverages"/>
    <n v="16.89"/>
    <n v="17"/>
    <n v="20.100000000000001"/>
    <n v="307.23"/>
    <n v="0"/>
    <x v="0"/>
  </r>
  <r>
    <n v="755"/>
    <s v="A"/>
    <s v="Chicago"/>
    <s v="Member"/>
    <s v="Male"/>
    <s v="Detergent"/>
    <s v="Household"/>
    <n v="3.09"/>
    <n v="2"/>
    <n v="0.43"/>
    <n v="6.61"/>
    <n v="0"/>
    <x v="0"/>
  </r>
  <r>
    <n v="756"/>
    <s v="B"/>
    <s v="Los Angeles"/>
    <s v="Member"/>
    <s v="Female"/>
    <s v="Orange Juice"/>
    <s v="Beverages"/>
    <n v="2.2000000000000002"/>
    <n v="20"/>
    <n v="3.08"/>
    <n v="47.08"/>
    <n v="4"/>
    <x v="0"/>
  </r>
  <r>
    <n v="757"/>
    <s v="A"/>
    <s v="Chicago"/>
    <s v="Member"/>
    <s v="Female"/>
    <s v="Apple"/>
    <s v="Fruits"/>
    <n v="2.73"/>
    <n v="10"/>
    <n v="1.91"/>
    <n v="29.21"/>
    <n v="2"/>
    <x v="0"/>
  </r>
  <r>
    <n v="758"/>
    <s v="B"/>
    <s v="Los Angeles"/>
    <s v="Member"/>
    <s v="Male"/>
    <s v="Shampoo"/>
    <s v="Personal Care"/>
    <n v="16.62"/>
    <n v="12"/>
    <n v="13.96"/>
    <n v="213.4"/>
    <n v="21"/>
    <x v="0"/>
  </r>
  <r>
    <n v="759"/>
    <s v="B"/>
    <s v="Los Angeles"/>
    <s v="Normal"/>
    <s v="Male"/>
    <s v="Orange Juice"/>
    <s v="Beverages"/>
    <n v="16.489999999999998"/>
    <n v="2"/>
    <n v="2.31"/>
    <n v="35.29"/>
    <n v="0"/>
    <x v="0"/>
  </r>
  <r>
    <n v="760"/>
    <s v="A"/>
    <s v="Chicago"/>
    <s v="Normal"/>
    <s v="Male"/>
    <s v="Orange Juice"/>
    <s v="Beverages"/>
    <n v="19.920000000000002"/>
    <n v="6"/>
    <n v="8.3699999999999992"/>
    <n v="127.89"/>
    <n v="0"/>
    <x v="0"/>
  </r>
  <r>
    <n v="761"/>
    <s v="B"/>
    <s v="Los Angeles"/>
    <s v="Normal"/>
    <s v="Female"/>
    <s v="Apple"/>
    <s v="Fruits"/>
    <n v="20.74"/>
    <n v="19"/>
    <n v="27.58"/>
    <n v="421.64"/>
    <n v="0"/>
    <x v="1"/>
  </r>
  <r>
    <n v="762"/>
    <s v="B"/>
    <s v="Los Angeles"/>
    <s v="Member"/>
    <s v="Male"/>
    <s v="Orange Juice"/>
    <s v="Beverages"/>
    <n v="13.25"/>
    <n v="6"/>
    <n v="5.57"/>
    <n v="85.07"/>
    <n v="8"/>
    <x v="0"/>
  </r>
  <r>
    <n v="763"/>
    <s v="C"/>
    <s v="New York"/>
    <s v="Member"/>
    <s v="Female"/>
    <s v="Detergent"/>
    <s v="Household"/>
    <n v="10.46"/>
    <n v="18"/>
    <n v="13.18"/>
    <n v="201.46"/>
    <n v="20"/>
    <x v="0"/>
  </r>
  <r>
    <n v="764"/>
    <s v="B"/>
    <s v="Los Angeles"/>
    <s v="Normal"/>
    <s v="Female"/>
    <s v="Orange Juice"/>
    <s v="Beverages"/>
    <n v="2.84"/>
    <n v="18"/>
    <n v="3.58"/>
    <n v="54.7"/>
    <n v="0"/>
    <x v="0"/>
  </r>
  <r>
    <n v="765"/>
    <s v="C"/>
    <s v="New York"/>
    <s v="Normal"/>
    <s v="Male"/>
    <s v="Detergent"/>
    <s v="Household"/>
    <n v="9.0399999999999991"/>
    <n v="17"/>
    <n v="10.76"/>
    <n v="164.44"/>
    <n v="0"/>
    <x v="0"/>
  </r>
  <r>
    <n v="766"/>
    <s v="A"/>
    <s v="Chicago"/>
    <s v="Member"/>
    <s v="Female"/>
    <s v="Shampoo"/>
    <s v="Personal Care"/>
    <n v="9.84"/>
    <n v="4"/>
    <n v="2.76"/>
    <n v="42.12"/>
    <n v="4"/>
    <x v="0"/>
  </r>
  <r>
    <n v="767"/>
    <s v="A"/>
    <s v="Chicago"/>
    <s v="Member"/>
    <s v="Male"/>
    <s v="Apple"/>
    <s v="Fruits"/>
    <n v="10.210000000000001"/>
    <n v="8"/>
    <n v="5.72"/>
    <n v="87.4"/>
    <n v="8"/>
    <x v="0"/>
  </r>
  <r>
    <n v="768"/>
    <s v="B"/>
    <s v="Los Angeles"/>
    <s v="Normal"/>
    <s v="Female"/>
    <s v="Orange Juice"/>
    <s v="Beverages"/>
    <n v="10.46"/>
    <n v="5"/>
    <n v="3.66"/>
    <n v="55.96"/>
    <n v="0"/>
    <x v="0"/>
  </r>
  <r>
    <n v="769"/>
    <s v="C"/>
    <s v="New York"/>
    <s v="Normal"/>
    <s v="Male"/>
    <s v="Apple"/>
    <s v="Fruits"/>
    <n v="15.93"/>
    <n v="11"/>
    <n v="12.27"/>
    <n v="187.5"/>
    <n v="0"/>
    <x v="0"/>
  </r>
  <r>
    <n v="770"/>
    <s v="C"/>
    <s v="New York"/>
    <s v="Normal"/>
    <s v="Female"/>
    <s v="Notebook"/>
    <s v="Stationery"/>
    <n v="10.11"/>
    <n v="14"/>
    <n v="9.91"/>
    <n v="151.44999999999999"/>
    <n v="0"/>
    <x v="0"/>
  </r>
  <r>
    <n v="771"/>
    <s v="A"/>
    <s v="Chicago"/>
    <s v="Normal"/>
    <s v="Male"/>
    <s v="Shampoo"/>
    <s v="Personal Care"/>
    <n v="10.97"/>
    <n v="18"/>
    <n v="13.82"/>
    <n v="211.28"/>
    <n v="0"/>
    <x v="0"/>
  </r>
  <r>
    <n v="772"/>
    <s v="B"/>
    <s v="Los Angeles"/>
    <s v="Member"/>
    <s v="Male"/>
    <s v="Apple"/>
    <s v="Fruits"/>
    <n v="11.4"/>
    <n v="1"/>
    <n v="0.8"/>
    <n v="12.2"/>
    <n v="1"/>
    <x v="0"/>
  </r>
  <r>
    <n v="773"/>
    <s v="C"/>
    <s v="New York"/>
    <s v="Normal"/>
    <s v="Female"/>
    <s v="Orange Juice"/>
    <s v="Beverages"/>
    <n v="14.63"/>
    <n v="11"/>
    <n v="11.27"/>
    <n v="172.2"/>
    <n v="0"/>
    <x v="0"/>
  </r>
  <r>
    <n v="774"/>
    <s v="C"/>
    <s v="New York"/>
    <s v="Normal"/>
    <s v="Female"/>
    <s v="Apple"/>
    <s v="Fruits"/>
    <n v="16.48"/>
    <n v="5"/>
    <n v="5.77"/>
    <n v="88.17"/>
    <n v="0"/>
    <x v="0"/>
  </r>
  <r>
    <n v="775"/>
    <s v="A"/>
    <s v="Chicago"/>
    <s v="Normal"/>
    <s v="Female"/>
    <s v="Detergent"/>
    <s v="Household"/>
    <n v="1.72"/>
    <n v="15"/>
    <n v="1.81"/>
    <n v="27.61"/>
    <n v="0"/>
    <x v="0"/>
  </r>
  <r>
    <n v="776"/>
    <s v="A"/>
    <s v="Chicago"/>
    <s v="Member"/>
    <s v="Male"/>
    <s v="Shampoo"/>
    <s v="Personal Care"/>
    <n v="17.12"/>
    <n v="15"/>
    <n v="17.98"/>
    <n v="274.77999999999997"/>
    <n v="27"/>
    <x v="0"/>
  </r>
  <r>
    <n v="777"/>
    <s v="B"/>
    <s v="Los Angeles"/>
    <s v="Member"/>
    <s v="Female"/>
    <s v="Detergent"/>
    <s v="Household"/>
    <n v="8.81"/>
    <n v="4"/>
    <n v="2.4700000000000002"/>
    <n v="37.71"/>
    <n v="3"/>
    <x v="0"/>
  </r>
  <r>
    <n v="778"/>
    <s v="B"/>
    <s v="Los Angeles"/>
    <s v="Member"/>
    <s v="Male"/>
    <s v="Orange Juice"/>
    <s v="Beverages"/>
    <n v="3.11"/>
    <n v="4"/>
    <n v="0.87"/>
    <n v="13.31"/>
    <n v="1"/>
    <x v="0"/>
  </r>
  <r>
    <n v="779"/>
    <s v="B"/>
    <s v="Los Angeles"/>
    <s v="Member"/>
    <s v="Female"/>
    <s v="Orange Juice"/>
    <s v="Beverages"/>
    <n v="10.57"/>
    <n v="20"/>
    <n v="14.8"/>
    <n v="226.2"/>
    <n v="22"/>
    <x v="0"/>
  </r>
  <r>
    <n v="780"/>
    <s v="A"/>
    <s v="Chicago"/>
    <s v="Normal"/>
    <s v="Male"/>
    <s v="Shampoo"/>
    <s v="Personal Care"/>
    <n v="6.64"/>
    <n v="7"/>
    <n v="3.25"/>
    <n v="49.73"/>
    <n v="0"/>
    <x v="0"/>
  </r>
  <r>
    <n v="781"/>
    <s v="A"/>
    <s v="Chicago"/>
    <s v="Normal"/>
    <s v="Male"/>
    <s v="Shampoo"/>
    <s v="Personal Care"/>
    <n v="17.37"/>
    <n v="20"/>
    <n v="24.32"/>
    <n v="371.72"/>
    <n v="0"/>
    <x v="0"/>
  </r>
  <r>
    <n v="782"/>
    <s v="C"/>
    <s v="New York"/>
    <s v="Member"/>
    <s v="Female"/>
    <s v="Detergent"/>
    <s v="Household"/>
    <n v="4.9400000000000004"/>
    <n v="7"/>
    <n v="2.42"/>
    <n v="37"/>
    <n v="3"/>
    <x v="0"/>
  </r>
  <r>
    <n v="783"/>
    <s v="A"/>
    <s v="Chicago"/>
    <s v="Member"/>
    <s v="Female"/>
    <s v="Detergent"/>
    <s v="Household"/>
    <n v="4.62"/>
    <n v="3"/>
    <n v="0.97"/>
    <n v="14.83"/>
    <n v="1"/>
    <x v="0"/>
  </r>
  <r>
    <n v="784"/>
    <s v="B"/>
    <s v="Los Angeles"/>
    <s v="Normal"/>
    <s v="Male"/>
    <s v="Notebook"/>
    <s v="Stationery"/>
    <n v="10.23"/>
    <n v="10"/>
    <n v="7.16"/>
    <n v="109.46"/>
    <n v="0"/>
    <x v="0"/>
  </r>
  <r>
    <n v="785"/>
    <s v="C"/>
    <s v="New York"/>
    <s v="Normal"/>
    <s v="Female"/>
    <s v="Apple"/>
    <s v="Fruits"/>
    <n v="9.94"/>
    <n v="6"/>
    <n v="4.17"/>
    <n v="63.81"/>
    <n v="0"/>
    <x v="0"/>
  </r>
  <r>
    <n v="786"/>
    <s v="A"/>
    <s v="Chicago"/>
    <s v="Normal"/>
    <s v="Male"/>
    <s v="Shampoo"/>
    <s v="Personal Care"/>
    <n v="5.14"/>
    <n v="17"/>
    <n v="6.12"/>
    <n v="93.5"/>
    <n v="0"/>
    <x v="0"/>
  </r>
  <r>
    <n v="787"/>
    <s v="A"/>
    <s v="Chicago"/>
    <s v="Normal"/>
    <s v="Male"/>
    <s v="Shampoo"/>
    <s v="Personal Care"/>
    <n v="17.649999999999999"/>
    <n v="12"/>
    <n v="14.83"/>
    <n v="226.63"/>
    <n v="0"/>
    <x v="0"/>
  </r>
  <r>
    <n v="788"/>
    <s v="A"/>
    <s v="Chicago"/>
    <s v="Normal"/>
    <s v="Female"/>
    <s v="Detergent"/>
    <s v="Household"/>
    <n v="10.01"/>
    <n v="20"/>
    <n v="14.01"/>
    <n v="214.21"/>
    <n v="0"/>
    <x v="0"/>
  </r>
  <r>
    <n v="789"/>
    <s v="B"/>
    <s v="Los Angeles"/>
    <s v="Member"/>
    <s v="Female"/>
    <s v="Notebook"/>
    <s v="Stationery"/>
    <n v="1.82"/>
    <n v="18"/>
    <n v="2.29"/>
    <n v="35.049999999999997"/>
    <n v="3"/>
    <x v="0"/>
  </r>
  <r>
    <n v="790"/>
    <s v="C"/>
    <s v="New York"/>
    <s v="Normal"/>
    <s v="Female"/>
    <s v="Shampoo"/>
    <s v="Personal Care"/>
    <n v="16.309999999999999"/>
    <n v="7"/>
    <n v="7.99"/>
    <n v="122.16"/>
    <n v="0"/>
    <x v="0"/>
  </r>
  <r>
    <n v="791"/>
    <s v="B"/>
    <s v="Los Angeles"/>
    <s v="Member"/>
    <s v="Male"/>
    <s v="Detergent"/>
    <s v="Household"/>
    <n v="11.87"/>
    <n v="2"/>
    <n v="1.66"/>
    <n v="25.4"/>
    <n v="2"/>
    <x v="0"/>
  </r>
  <r>
    <n v="792"/>
    <s v="C"/>
    <s v="New York"/>
    <s v="Normal"/>
    <s v="Male"/>
    <s v="Detergent"/>
    <s v="Household"/>
    <n v="2.97"/>
    <n v="10"/>
    <n v="2.08"/>
    <n v="31.78"/>
    <n v="0"/>
    <x v="0"/>
  </r>
  <r>
    <n v="793"/>
    <s v="B"/>
    <s v="Los Angeles"/>
    <s v="Member"/>
    <s v="Male"/>
    <s v="Notebook"/>
    <s v="Stationery"/>
    <n v="5.86"/>
    <n v="18"/>
    <n v="7.38"/>
    <n v="112.86"/>
    <n v="11"/>
    <x v="0"/>
  </r>
  <r>
    <n v="794"/>
    <s v="C"/>
    <s v="New York"/>
    <s v="Normal"/>
    <s v="Female"/>
    <s v="Notebook"/>
    <s v="Stationery"/>
    <n v="2.2799999999999998"/>
    <n v="16"/>
    <n v="2.5499999999999998"/>
    <n v="39.03"/>
    <n v="0"/>
    <x v="0"/>
  </r>
  <r>
    <n v="795"/>
    <s v="B"/>
    <s v="Los Angeles"/>
    <s v="Member"/>
    <s v="Female"/>
    <s v="Apple"/>
    <s v="Fruits"/>
    <n v="5.17"/>
    <n v="2"/>
    <n v="0.72"/>
    <n v="11.06"/>
    <n v="1"/>
    <x v="0"/>
  </r>
  <r>
    <n v="796"/>
    <s v="A"/>
    <s v="Chicago"/>
    <s v="Member"/>
    <s v="Male"/>
    <s v="Shampoo"/>
    <s v="Personal Care"/>
    <n v="8.75"/>
    <n v="6"/>
    <n v="3.68"/>
    <n v="56.18"/>
    <n v="5"/>
    <x v="0"/>
  </r>
  <r>
    <n v="797"/>
    <s v="C"/>
    <s v="New York"/>
    <s v="Member"/>
    <s v="Male"/>
    <s v="Orange Juice"/>
    <s v="Beverages"/>
    <n v="1.87"/>
    <n v="18"/>
    <n v="2.36"/>
    <n v="36.020000000000003"/>
    <n v="3"/>
    <x v="0"/>
  </r>
  <r>
    <n v="798"/>
    <s v="C"/>
    <s v="New York"/>
    <s v="Member"/>
    <s v="Female"/>
    <s v="Orange Juice"/>
    <s v="Beverages"/>
    <n v="12.01"/>
    <n v="11"/>
    <n v="9.25"/>
    <n v="141.36000000000001"/>
    <n v="14"/>
    <x v="0"/>
  </r>
  <r>
    <n v="799"/>
    <s v="C"/>
    <s v="New York"/>
    <s v="Normal"/>
    <s v="Female"/>
    <s v="Notebook"/>
    <s v="Stationery"/>
    <n v="4.05"/>
    <n v="3"/>
    <n v="0.85"/>
    <n v="13"/>
    <n v="0"/>
    <x v="0"/>
  </r>
  <r>
    <n v="800"/>
    <s v="A"/>
    <s v="Chicago"/>
    <s v="Member"/>
    <s v="Female"/>
    <s v="Detergent"/>
    <s v="Household"/>
    <n v="6.27"/>
    <n v="20"/>
    <n v="8.7799999999999994"/>
    <n v="134.18"/>
    <n v="13"/>
    <x v="0"/>
  </r>
  <r>
    <n v="801"/>
    <s v="B"/>
    <s v="Los Angeles"/>
    <s v="Member"/>
    <s v="Female"/>
    <s v="Apple"/>
    <s v="Fruits"/>
    <n v="9.58"/>
    <n v="14"/>
    <n v="9.39"/>
    <n v="143.51"/>
    <n v="14"/>
    <x v="0"/>
  </r>
  <r>
    <n v="802"/>
    <s v="A"/>
    <s v="Chicago"/>
    <s v="Normal"/>
    <s v="Male"/>
    <s v="Detergent"/>
    <s v="Household"/>
    <n v="6.88"/>
    <n v="4"/>
    <n v="1.93"/>
    <n v="29.45"/>
    <n v="0"/>
    <x v="0"/>
  </r>
  <r>
    <n v="803"/>
    <s v="A"/>
    <s v="Chicago"/>
    <s v="Member"/>
    <s v="Female"/>
    <s v="Shampoo"/>
    <s v="Personal Care"/>
    <n v="1.1000000000000001"/>
    <n v="16"/>
    <n v="1.23"/>
    <n v="18.829999999999998"/>
    <n v="1"/>
    <x v="0"/>
  </r>
  <r>
    <n v="804"/>
    <s v="C"/>
    <s v="New York"/>
    <s v="Member"/>
    <s v="Female"/>
    <s v="Notebook"/>
    <s v="Stationery"/>
    <n v="4.26"/>
    <n v="7"/>
    <n v="2.09"/>
    <n v="31.91"/>
    <n v="3"/>
    <x v="0"/>
  </r>
  <r>
    <n v="805"/>
    <s v="B"/>
    <s v="Los Angeles"/>
    <s v="Normal"/>
    <s v="Female"/>
    <s v="Orange Juice"/>
    <s v="Beverages"/>
    <n v="11.11"/>
    <n v="19"/>
    <n v="14.78"/>
    <n v="225.87"/>
    <n v="0"/>
    <x v="0"/>
  </r>
  <r>
    <n v="806"/>
    <s v="A"/>
    <s v="Chicago"/>
    <s v="Normal"/>
    <s v="Female"/>
    <s v="Orange Juice"/>
    <s v="Beverages"/>
    <n v="7.64"/>
    <n v="20"/>
    <n v="10.7"/>
    <n v="163.5"/>
    <n v="0"/>
    <x v="0"/>
  </r>
  <r>
    <n v="807"/>
    <s v="A"/>
    <s v="Chicago"/>
    <s v="Normal"/>
    <s v="Male"/>
    <s v="Apple"/>
    <s v="Fruits"/>
    <n v="9.7799999999999994"/>
    <n v="5"/>
    <n v="3.42"/>
    <n v="52.32"/>
    <n v="0"/>
    <x v="0"/>
  </r>
  <r>
    <n v="808"/>
    <s v="A"/>
    <s v="Chicago"/>
    <s v="Normal"/>
    <s v="Male"/>
    <s v="Detergent"/>
    <s v="Household"/>
    <n v="8.92"/>
    <n v="4"/>
    <n v="2.5"/>
    <n v="38.18"/>
    <n v="0"/>
    <x v="0"/>
  </r>
  <r>
    <n v="809"/>
    <s v="B"/>
    <s v="Los Angeles"/>
    <s v="Member"/>
    <s v="Female"/>
    <s v="Detergent"/>
    <s v="Household"/>
    <n v="3.82"/>
    <n v="4"/>
    <n v="1.07"/>
    <n v="16.350000000000001"/>
    <n v="1"/>
    <x v="0"/>
  </r>
  <r>
    <n v="810"/>
    <s v="C"/>
    <s v="New York"/>
    <s v="Member"/>
    <s v="Female"/>
    <s v="Apple"/>
    <s v="Fruits"/>
    <n v="17.25"/>
    <n v="4"/>
    <n v="4.83"/>
    <n v="73.83"/>
    <n v="7"/>
    <x v="0"/>
  </r>
  <r>
    <n v="811"/>
    <s v="A"/>
    <s v="Chicago"/>
    <s v="Member"/>
    <s v="Female"/>
    <s v="Notebook"/>
    <s v="Stationery"/>
    <n v="5.52"/>
    <n v="20"/>
    <n v="7.73"/>
    <n v="118.13"/>
    <n v="11"/>
    <x v="0"/>
  </r>
  <r>
    <n v="812"/>
    <s v="B"/>
    <s v="Los Angeles"/>
    <s v="Normal"/>
    <s v="Female"/>
    <s v="Apple"/>
    <s v="Fruits"/>
    <n v="19.05"/>
    <n v="19"/>
    <n v="25.34"/>
    <n v="387.29"/>
    <n v="0"/>
    <x v="1"/>
  </r>
  <r>
    <n v="813"/>
    <s v="B"/>
    <s v="Los Angeles"/>
    <s v="Normal"/>
    <s v="Male"/>
    <s v="Detergent"/>
    <s v="Household"/>
    <n v="20.23"/>
    <n v="19"/>
    <n v="26.91"/>
    <n v="411.28"/>
    <n v="0"/>
    <x v="1"/>
  </r>
  <r>
    <n v="814"/>
    <s v="A"/>
    <s v="Chicago"/>
    <s v="Normal"/>
    <s v="Female"/>
    <s v="Apple"/>
    <s v="Fruits"/>
    <n v="6.24"/>
    <n v="10"/>
    <n v="4.37"/>
    <n v="66.77"/>
    <n v="0"/>
    <x v="0"/>
  </r>
  <r>
    <n v="815"/>
    <s v="A"/>
    <s v="Chicago"/>
    <s v="Member"/>
    <s v="Male"/>
    <s v="Apple"/>
    <s v="Fruits"/>
    <n v="15.98"/>
    <n v="8"/>
    <n v="8.9499999999999993"/>
    <n v="136.79"/>
    <n v="13"/>
    <x v="0"/>
  </r>
  <r>
    <n v="816"/>
    <s v="B"/>
    <s v="Los Angeles"/>
    <s v="Member"/>
    <s v="Female"/>
    <s v="Notebook"/>
    <s v="Stationery"/>
    <n v="3.05"/>
    <n v="17"/>
    <n v="3.63"/>
    <n v="55.48"/>
    <n v="5"/>
    <x v="0"/>
  </r>
  <r>
    <n v="817"/>
    <s v="A"/>
    <s v="Chicago"/>
    <s v="Member"/>
    <s v="Female"/>
    <s v="Notebook"/>
    <s v="Stationery"/>
    <n v="14.43"/>
    <n v="18"/>
    <n v="18.18"/>
    <n v="277.92"/>
    <n v="27"/>
    <x v="0"/>
  </r>
  <r>
    <n v="818"/>
    <s v="B"/>
    <s v="Los Angeles"/>
    <s v="Normal"/>
    <s v="Male"/>
    <s v="Orange Juice"/>
    <s v="Beverages"/>
    <n v="9"/>
    <n v="1"/>
    <n v="0.63"/>
    <n v="9.6300000000000008"/>
    <n v="0"/>
    <x v="0"/>
  </r>
  <r>
    <n v="819"/>
    <s v="B"/>
    <s v="Los Angeles"/>
    <s v="Member"/>
    <s v="Female"/>
    <s v="Notebook"/>
    <s v="Stationery"/>
    <n v="3.96"/>
    <n v="20"/>
    <n v="5.54"/>
    <n v="84.74"/>
    <n v="8"/>
    <x v="0"/>
  </r>
  <r>
    <n v="820"/>
    <s v="C"/>
    <s v="New York"/>
    <s v="Member"/>
    <s v="Female"/>
    <s v="Shampoo"/>
    <s v="Personal Care"/>
    <n v="12.87"/>
    <n v="7"/>
    <n v="6.31"/>
    <n v="96.4"/>
    <n v="9"/>
    <x v="0"/>
  </r>
  <r>
    <n v="821"/>
    <s v="B"/>
    <s v="Los Angeles"/>
    <s v="Member"/>
    <s v="Female"/>
    <s v="Detergent"/>
    <s v="Household"/>
    <n v="20.21"/>
    <n v="14"/>
    <n v="19.809999999999999"/>
    <n v="302.75"/>
    <n v="30"/>
    <x v="0"/>
  </r>
  <r>
    <n v="822"/>
    <s v="C"/>
    <s v="New York"/>
    <s v="Member"/>
    <s v="Female"/>
    <s v="Shampoo"/>
    <s v="Personal Care"/>
    <n v="6.1"/>
    <n v="18"/>
    <n v="7.69"/>
    <n v="117.49"/>
    <n v="11"/>
    <x v="0"/>
  </r>
  <r>
    <n v="823"/>
    <s v="B"/>
    <s v="Los Angeles"/>
    <s v="Member"/>
    <s v="Female"/>
    <s v="Detergent"/>
    <s v="Household"/>
    <n v="18.97"/>
    <n v="3"/>
    <n v="3.98"/>
    <n v="60.89"/>
    <n v="6"/>
    <x v="0"/>
  </r>
  <r>
    <n v="824"/>
    <s v="A"/>
    <s v="Chicago"/>
    <s v="Normal"/>
    <s v="Female"/>
    <s v="Detergent"/>
    <s v="Household"/>
    <n v="20.64"/>
    <n v="8"/>
    <n v="11.56"/>
    <n v="176.68"/>
    <n v="0"/>
    <x v="0"/>
  </r>
  <r>
    <n v="825"/>
    <s v="B"/>
    <s v="Los Angeles"/>
    <s v="Member"/>
    <s v="Male"/>
    <s v="Shampoo"/>
    <s v="Personal Care"/>
    <n v="14.76"/>
    <n v="15"/>
    <n v="15.5"/>
    <n v="236.9"/>
    <n v="23"/>
    <x v="0"/>
  </r>
  <r>
    <n v="826"/>
    <s v="B"/>
    <s v="Los Angeles"/>
    <s v="Normal"/>
    <s v="Male"/>
    <s v="Apple"/>
    <s v="Fruits"/>
    <n v="16.21"/>
    <n v="15"/>
    <n v="17.02"/>
    <n v="260.17"/>
    <n v="0"/>
    <x v="0"/>
  </r>
  <r>
    <n v="827"/>
    <s v="A"/>
    <s v="Chicago"/>
    <s v="Normal"/>
    <s v="Male"/>
    <s v="Orange Juice"/>
    <s v="Beverages"/>
    <n v="11.91"/>
    <n v="13"/>
    <n v="10.84"/>
    <n v="165.67"/>
    <n v="0"/>
    <x v="0"/>
  </r>
  <r>
    <n v="828"/>
    <s v="C"/>
    <s v="New York"/>
    <s v="Member"/>
    <s v="Female"/>
    <s v="Notebook"/>
    <s v="Stationery"/>
    <n v="10.34"/>
    <n v="4"/>
    <n v="2.9"/>
    <n v="44.26"/>
    <n v="4"/>
    <x v="0"/>
  </r>
  <r>
    <n v="829"/>
    <s v="B"/>
    <s v="Los Angeles"/>
    <s v="Normal"/>
    <s v="Male"/>
    <s v="Notebook"/>
    <s v="Stationery"/>
    <n v="1.33"/>
    <n v="17"/>
    <n v="1.58"/>
    <n v="24.19"/>
    <n v="0"/>
    <x v="0"/>
  </r>
  <r>
    <n v="830"/>
    <s v="C"/>
    <s v="New York"/>
    <s v="Member"/>
    <s v="Male"/>
    <s v="Apple"/>
    <s v="Fruits"/>
    <n v="12.95"/>
    <n v="14"/>
    <n v="12.69"/>
    <n v="193.99"/>
    <n v="19"/>
    <x v="0"/>
  </r>
  <r>
    <n v="831"/>
    <s v="B"/>
    <s v="Los Angeles"/>
    <s v="Normal"/>
    <s v="Female"/>
    <s v="Notebook"/>
    <s v="Stationery"/>
    <n v="9.07"/>
    <n v="17"/>
    <n v="10.79"/>
    <n v="164.98"/>
    <n v="0"/>
    <x v="0"/>
  </r>
  <r>
    <n v="832"/>
    <s v="A"/>
    <s v="Chicago"/>
    <s v="Member"/>
    <s v="Female"/>
    <s v="Apple"/>
    <s v="Fruits"/>
    <n v="7.59"/>
    <n v="10"/>
    <n v="5.31"/>
    <n v="81.209999999999994"/>
    <n v="8"/>
    <x v="0"/>
  </r>
  <r>
    <n v="833"/>
    <s v="C"/>
    <s v="New York"/>
    <s v="Member"/>
    <s v="Male"/>
    <s v="Orange Juice"/>
    <s v="Beverages"/>
    <n v="18.920000000000002"/>
    <n v="5"/>
    <n v="6.62"/>
    <n v="101.22"/>
    <n v="10"/>
    <x v="0"/>
  </r>
  <r>
    <n v="834"/>
    <s v="A"/>
    <s v="Chicago"/>
    <s v="Member"/>
    <s v="Male"/>
    <s v="Orange Juice"/>
    <s v="Beverages"/>
    <n v="20.61"/>
    <n v="12"/>
    <n v="17.309999999999999"/>
    <n v="264.63"/>
    <n v="26"/>
    <x v="0"/>
  </r>
  <r>
    <n v="835"/>
    <s v="B"/>
    <s v="Los Angeles"/>
    <s v="Member"/>
    <s v="Female"/>
    <s v="Notebook"/>
    <s v="Stationery"/>
    <n v="18.97"/>
    <n v="7"/>
    <n v="9.3000000000000007"/>
    <n v="142.09"/>
    <n v="14"/>
    <x v="0"/>
  </r>
  <r>
    <n v="836"/>
    <s v="C"/>
    <s v="New York"/>
    <s v="Member"/>
    <s v="Male"/>
    <s v="Detergent"/>
    <s v="Household"/>
    <n v="17.34"/>
    <n v="18"/>
    <n v="21.85"/>
    <n v="333.97"/>
    <n v="33"/>
    <x v="0"/>
  </r>
  <r>
    <n v="837"/>
    <s v="A"/>
    <s v="Chicago"/>
    <s v="Member"/>
    <s v="Male"/>
    <s v="Shampoo"/>
    <s v="Personal Care"/>
    <n v="10.78"/>
    <n v="17"/>
    <n v="12.83"/>
    <n v="196.09"/>
    <n v="19"/>
    <x v="0"/>
  </r>
  <r>
    <n v="838"/>
    <s v="A"/>
    <s v="Chicago"/>
    <s v="Normal"/>
    <s v="Female"/>
    <s v="Shampoo"/>
    <s v="Personal Care"/>
    <n v="11.41"/>
    <n v="20"/>
    <n v="15.97"/>
    <n v="244.17"/>
    <n v="0"/>
    <x v="0"/>
  </r>
  <r>
    <n v="839"/>
    <s v="C"/>
    <s v="New York"/>
    <s v="Member"/>
    <s v="Male"/>
    <s v="Shampoo"/>
    <s v="Personal Care"/>
    <n v="14.63"/>
    <n v="19"/>
    <n v="19.46"/>
    <n v="297.43"/>
    <n v="29"/>
    <x v="0"/>
  </r>
  <r>
    <n v="840"/>
    <s v="B"/>
    <s v="Los Angeles"/>
    <s v="Normal"/>
    <s v="Female"/>
    <s v="Shampoo"/>
    <s v="Personal Care"/>
    <n v="20.51"/>
    <n v="1"/>
    <n v="1.44"/>
    <n v="21.95"/>
    <n v="0"/>
    <x v="0"/>
  </r>
  <r>
    <n v="841"/>
    <s v="A"/>
    <s v="Chicago"/>
    <s v="Normal"/>
    <s v="Female"/>
    <s v="Apple"/>
    <s v="Fruits"/>
    <n v="12.4"/>
    <n v="7"/>
    <n v="6.08"/>
    <n v="92.88"/>
    <n v="0"/>
    <x v="0"/>
  </r>
  <r>
    <n v="842"/>
    <s v="A"/>
    <s v="Chicago"/>
    <s v="Member"/>
    <s v="Male"/>
    <s v="Apple"/>
    <s v="Fruits"/>
    <n v="19.399999999999999"/>
    <n v="10"/>
    <n v="13.58"/>
    <n v="207.58"/>
    <n v="20"/>
    <x v="0"/>
  </r>
  <r>
    <n v="843"/>
    <s v="C"/>
    <s v="New York"/>
    <s v="Member"/>
    <s v="Male"/>
    <s v="Notebook"/>
    <s v="Stationery"/>
    <n v="9.01"/>
    <n v="7"/>
    <n v="4.41"/>
    <n v="67.48"/>
    <n v="6"/>
    <x v="0"/>
  </r>
  <r>
    <n v="844"/>
    <s v="C"/>
    <s v="New York"/>
    <s v="Normal"/>
    <s v="Male"/>
    <s v="Shampoo"/>
    <s v="Personal Care"/>
    <n v="20.64"/>
    <n v="5"/>
    <n v="7.22"/>
    <n v="110.42"/>
    <n v="0"/>
    <x v="0"/>
  </r>
  <r>
    <n v="845"/>
    <s v="C"/>
    <s v="New York"/>
    <s v="Member"/>
    <s v="Female"/>
    <s v="Orange Juice"/>
    <s v="Beverages"/>
    <n v="1.1000000000000001"/>
    <n v="10"/>
    <n v="0.77"/>
    <n v="11.77"/>
    <n v="1"/>
    <x v="0"/>
  </r>
  <r>
    <n v="846"/>
    <s v="A"/>
    <s v="Chicago"/>
    <s v="Normal"/>
    <s v="Female"/>
    <s v="Shampoo"/>
    <s v="Personal Care"/>
    <n v="13.11"/>
    <n v="7"/>
    <n v="6.42"/>
    <n v="98.19"/>
    <n v="0"/>
    <x v="0"/>
  </r>
  <r>
    <n v="847"/>
    <s v="B"/>
    <s v="Los Angeles"/>
    <s v="Member"/>
    <s v="Male"/>
    <s v="Shampoo"/>
    <s v="Personal Care"/>
    <n v="14.26"/>
    <n v="16"/>
    <n v="15.97"/>
    <n v="244.13"/>
    <n v="24"/>
    <x v="0"/>
  </r>
  <r>
    <n v="848"/>
    <s v="C"/>
    <s v="New York"/>
    <s v="Normal"/>
    <s v="Female"/>
    <s v="Notebook"/>
    <s v="Stationery"/>
    <n v="2.42"/>
    <n v="9"/>
    <n v="1.52"/>
    <n v="23.3"/>
    <n v="0"/>
    <x v="0"/>
  </r>
  <r>
    <n v="849"/>
    <s v="C"/>
    <s v="New York"/>
    <s v="Normal"/>
    <s v="Male"/>
    <s v="Orange Juice"/>
    <s v="Beverages"/>
    <n v="4.84"/>
    <n v="4"/>
    <n v="1.36"/>
    <n v="20.72"/>
    <n v="0"/>
    <x v="0"/>
  </r>
  <r>
    <n v="850"/>
    <s v="C"/>
    <s v="New York"/>
    <s v="Member"/>
    <s v="Male"/>
    <s v="Orange Juice"/>
    <s v="Beverages"/>
    <n v="1.9"/>
    <n v="11"/>
    <n v="1.46"/>
    <n v="22.36"/>
    <n v="2"/>
    <x v="0"/>
  </r>
  <r>
    <n v="851"/>
    <s v="B"/>
    <s v="Los Angeles"/>
    <s v="Normal"/>
    <s v="Male"/>
    <s v="Orange Juice"/>
    <s v="Beverages"/>
    <n v="8.39"/>
    <n v="16"/>
    <n v="9.4"/>
    <n v="143.63999999999999"/>
    <n v="0"/>
    <x v="0"/>
  </r>
  <r>
    <n v="852"/>
    <s v="C"/>
    <s v="New York"/>
    <s v="Normal"/>
    <s v="Female"/>
    <s v="Orange Juice"/>
    <s v="Beverages"/>
    <n v="12.13"/>
    <n v="19"/>
    <n v="16.13"/>
    <n v="246.6"/>
    <n v="0"/>
    <x v="0"/>
  </r>
  <r>
    <n v="853"/>
    <s v="A"/>
    <s v="Chicago"/>
    <s v="Member"/>
    <s v="Female"/>
    <s v="Shampoo"/>
    <s v="Personal Care"/>
    <n v="5.44"/>
    <n v="7"/>
    <n v="2.67"/>
    <n v="40.75"/>
    <n v="4"/>
    <x v="0"/>
  </r>
  <r>
    <n v="854"/>
    <s v="A"/>
    <s v="Chicago"/>
    <s v="Normal"/>
    <s v="Male"/>
    <s v="Detergent"/>
    <s v="Household"/>
    <n v="15.31"/>
    <n v="10"/>
    <n v="10.72"/>
    <n v="163.82"/>
    <n v="0"/>
    <x v="0"/>
  </r>
  <r>
    <n v="855"/>
    <s v="A"/>
    <s v="Chicago"/>
    <s v="Normal"/>
    <s v="Male"/>
    <s v="Orange Juice"/>
    <s v="Beverages"/>
    <n v="8.7200000000000006"/>
    <n v="15"/>
    <n v="9.16"/>
    <n v="139.96"/>
    <n v="0"/>
    <x v="0"/>
  </r>
  <r>
    <n v="856"/>
    <s v="A"/>
    <s v="Chicago"/>
    <s v="Member"/>
    <s v="Female"/>
    <s v="Detergent"/>
    <s v="Household"/>
    <n v="3.05"/>
    <n v="19"/>
    <n v="4.0599999999999996"/>
    <n v="62.01"/>
    <n v="6"/>
    <x v="0"/>
  </r>
  <r>
    <n v="857"/>
    <s v="B"/>
    <s v="Los Angeles"/>
    <s v="Normal"/>
    <s v="Male"/>
    <s v="Shampoo"/>
    <s v="Personal Care"/>
    <n v="1.05"/>
    <n v="15"/>
    <n v="1.1000000000000001"/>
    <n v="16.850000000000001"/>
    <n v="0"/>
    <x v="0"/>
  </r>
  <r>
    <n v="858"/>
    <s v="C"/>
    <s v="New York"/>
    <s v="Member"/>
    <s v="Female"/>
    <s v="Orange Juice"/>
    <s v="Beverages"/>
    <n v="6.48"/>
    <n v="7"/>
    <n v="3.18"/>
    <n v="48.54"/>
    <n v="4"/>
    <x v="0"/>
  </r>
  <r>
    <n v="859"/>
    <s v="A"/>
    <s v="Chicago"/>
    <s v="Normal"/>
    <s v="Male"/>
    <s v="Notebook"/>
    <s v="Stationery"/>
    <n v="14.8"/>
    <n v="10"/>
    <n v="10.36"/>
    <n v="158.36000000000001"/>
    <n v="0"/>
    <x v="0"/>
  </r>
  <r>
    <n v="860"/>
    <s v="C"/>
    <s v="New York"/>
    <s v="Member"/>
    <s v="Male"/>
    <s v="Shampoo"/>
    <s v="Personal Care"/>
    <n v="15.1"/>
    <n v="18"/>
    <n v="19.03"/>
    <n v="290.83"/>
    <n v="29"/>
    <x v="0"/>
  </r>
  <r>
    <n v="861"/>
    <s v="C"/>
    <s v="New York"/>
    <s v="Member"/>
    <s v="Female"/>
    <s v="Shampoo"/>
    <s v="Personal Care"/>
    <n v="9.34"/>
    <n v="16"/>
    <n v="10.46"/>
    <n v="159.9"/>
    <n v="15"/>
    <x v="0"/>
  </r>
  <r>
    <n v="862"/>
    <s v="B"/>
    <s v="Los Angeles"/>
    <s v="Normal"/>
    <s v="Female"/>
    <s v="Notebook"/>
    <s v="Stationery"/>
    <n v="1.27"/>
    <n v="8"/>
    <n v="0.71"/>
    <n v="10.87"/>
    <n v="0"/>
    <x v="0"/>
  </r>
  <r>
    <n v="863"/>
    <s v="A"/>
    <s v="Chicago"/>
    <s v="Member"/>
    <s v="Male"/>
    <s v="Notebook"/>
    <s v="Stationery"/>
    <n v="19.440000000000001"/>
    <n v="2"/>
    <n v="2.72"/>
    <n v="41.6"/>
    <n v="4"/>
    <x v="0"/>
  </r>
  <r>
    <n v="864"/>
    <s v="A"/>
    <s v="Chicago"/>
    <s v="Member"/>
    <s v="Male"/>
    <s v="Notebook"/>
    <s v="Stationery"/>
    <n v="2.83"/>
    <n v="6"/>
    <n v="1.19"/>
    <n v="18.170000000000002"/>
    <n v="1"/>
    <x v="0"/>
  </r>
  <r>
    <n v="865"/>
    <s v="C"/>
    <s v="New York"/>
    <s v="Normal"/>
    <s v="Female"/>
    <s v="Apple"/>
    <s v="Fruits"/>
    <n v="16.170000000000002"/>
    <n v="3"/>
    <n v="3.4"/>
    <n v="51.91"/>
    <n v="0"/>
    <x v="0"/>
  </r>
  <r>
    <n v="866"/>
    <s v="A"/>
    <s v="Chicago"/>
    <s v="Member"/>
    <s v="Female"/>
    <s v="Orange Juice"/>
    <s v="Beverages"/>
    <n v="4.67"/>
    <n v="13"/>
    <n v="4.25"/>
    <n v="64.959999999999994"/>
    <n v="6"/>
    <x v="0"/>
  </r>
  <r>
    <n v="867"/>
    <s v="B"/>
    <s v="Los Angeles"/>
    <s v="Member"/>
    <s v="Male"/>
    <s v="Detergent"/>
    <s v="Household"/>
    <n v="14.69"/>
    <n v="18"/>
    <n v="18.510000000000002"/>
    <n v="282.93"/>
    <n v="28"/>
    <x v="0"/>
  </r>
  <r>
    <n v="868"/>
    <s v="A"/>
    <s v="Chicago"/>
    <s v="Normal"/>
    <s v="Male"/>
    <s v="Shampoo"/>
    <s v="Personal Care"/>
    <n v="5.88"/>
    <n v="13"/>
    <n v="5.35"/>
    <n v="81.790000000000006"/>
    <n v="0"/>
    <x v="0"/>
  </r>
  <r>
    <n v="869"/>
    <s v="B"/>
    <s v="Los Angeles"/>
    <s v="Member"/>
    <s v="Female"/>
    <s v="Notebook"/>
    <s v="Stationery"/>
    <n v="12.1"/>
    <n v="16"/>
    <n v="13.55"/>
    <n v="207.15"/>
    <n v="20"/>
    <x v="0"/>
  </r>
  <r>
    <n v="870"/>
    <s v="C"/>
    <s v="New York"/>
    <s v="Normal"/>
    <s v="Male"/>
    <s v="Apple"/>
    <s v="Fruits"/>
    <n v="4.1399999999999997"/>
    <n v="15"/>
    <n v="4.3499999999999996"/>
    <n v="66.45"/>
    <n v="0"/>
    <x v="0"/>
  </r>
  <r>
    <n v="871"/>
    <s v="C"/>
    <s v="New York"/>
    <s v="Member"/>
    <s v="Female"/>
    <s v="Shampoo"/>
    <s v="Personal Care"/>
    <n v="9.86"/>
    <n v="15"/>
    <n v="10.35"/>
    <n v="158.25"/>
    <n v="15"/>
    <x v="0"/>
  </r>
  <r>
    <n v="872"/>
    <s v="A"/>
    <s v="Chicago"/>
    <s v="Normal"/>
    <s v="Male"/>
    <s v="Orange Juice"/>
    <s v="Beverages"/>
    <n v="2.82"/>
    <n v="18"/>
    <n v="3.55"/>
    <n v="54.31"/>
    <n v="0"/>
    <x v="0"/>
  </r>
  <r>
    <n v="873"/>
    <s v="C"/>
    <s v="New York"/>
    <s v="Normal"/>
    <s v="Female"/>
    <s v="Shampoo"/>
    <s v="Personal Care"/>
    <n v="5.25"/>
    <n v="13"/>
    <n v="4.78"/>
    <n v="73.03"/>
    <n v="0"/>
    <x v="0"/>
  </r>
  <r>
    <n v="874"/>
    <s v="B"/>
    <s v="Los Angeles"/>
    <s v="Normal"/>
    <s v="Male"/>
    <s v="Orange Juice"/>
    <s v="Beverages"/>
    <n v="6.42"/>
    <n v="18"/>
    <n v="8.09"/>
    <n v="123.65"/>
    <n v="0"/>
    <x v="0"/>
  </r>
  <r>
    <n v="875"/>
    <s v="A"/>
    <s v="Chicago"/>
    <s v="Member"/>
    <s v="Female"/>
    <s v="Detergent"/>
    <s v="Household"/>
    <n v="4.3"/>
    <n v="14"/>
    <n v="4.21"/>
    <n v="64.41"/>
    <n v="6"/>
    <x v="0"/>
  </r>
  <r>
    <n v="876"/>
    <s v="C"/>
    <s v="New York"/>
    <s v="Member"/>
    <s v="Male"/>
    <s v="Shampoo"/>
    <s v="Personal Care"/>
    <n v="3.13"/>
    <n v="17"/>
    <n v="3.72"/>
    <n v="56.93"/>
    <n v="5"/>
    <x v="0"/>
  </r>
  <r>
    <n v="877"/>
    <s v="B"/>
    <s v="Los Angeles"/>
    <s v="Member"/>
    <s v="Male"/>
    <s v="Apple"/>
    <s v="Fruits"/>
    <n v="16.36"/>
    <n v="10"/>
    <n v="11.45"/>
    <n v="175.05"/>
    <n v="17"/>
    <x v="0"/>
  </r>
  <r>
    <n v="878"/>
    <s v="C"/>
    <s v="New York"/>
    <s v="Member"/>
    <s v="Male"/>
    <s v="Apple"/>
    <s v="Fruits"/>
    <n v="11.71"/>
    <n v="11"/>
    <n v="9.02"/>
    <n v="137.83000000000001"/>
    <n v="13"/>
    <x v="0"/>
  </r>
  <r>
    <n v="879"/>
    <s v="A"/>
    <s v="Chicago"/>
    <s v="Normal"/>
    <s v="Male"/>
    <s v="Shampoo"/>
    <s v="Personal Care"/>
    <n v="15.68"/>
    <n v="1"/>
    <n v="1.1000000000000001"/>
    <n v="16.78"/>
    <n v="0"/>
    <x v="0"/>
  </r>
  <r>
    <n v="880"/>
    <s v="C"/>
    <s v="New York"/>
    <s v="Normal"/>
    <s v="Female"/>
    <s v="Shampoo"/>
    <s v="Personal Care"/>
    <n v="7.14"/>
    <n v="2"/>
    <n v="1"/>
    <n v="15.28"/>
    <n v="0"/>
    <x v="0"/>
  </r>
  <r>
    <n v="881"/>
    <s v="C"/>
    <s v="New York"/>
    <s v="Member"/>
    <s v="Female"/>
    <s v="Shampoo"/>
    <s v="Personal Care"/>
    <n v="20.98"/>
    <n v="16"/>
    <n v="23.5"/>
    <n v="359.18"/>
    <n v="35"/>
    <x v="0"/>
  </r>
  <r>
    <n v="882"/>
    <s v="B"/>
    <s v="Los Angeles"/>
    <s v="Member"/>
    <s v="Female"/>
    <s v="Shampoo"/>
    <s v="Personal Care"/>
    <n v="10.45"/>
    <n v="3"/>
    <n v="2.19"/>
    <n v="33.54"/>
    <n v="3"/>
    <x v="0"/>
  </r>
  <r>
    <n v="883"/>
    <s v="B"/>
    <s v="Los Angeles"/>
    <s v="Member"/>
    <s v="Female"/>
    <s v="Apple"/>
    <s v="Fruits"/>
    <n v="8.61"/>
    <n v="19"/>
    <n v="11.45"/>
    <n v="175.04"/>
    <n v="17"/>
    <x v="0"/>
  </r>
  <r>
    <n v="884"/>
    <s v="C"/>
    <s v="New York"/>
    <s v="Member"/>
    <s v="Female"/>
    <s v="Apple"/>
    <s v="Fruits"/>
    <n v="12.16"/>
    <n v="19"/>
    <n v="16.170000000000002"/>
    <n v="247.21"/>
    <n v="24"/>
    <x v="0"/>
  </r>
  <r>
    <n v="885"/>
    <s v="C"/>
    <s v="New York"/>
    <s v="Normal"/>
    <s v="Male"/>
    <s v="Shampoo"/>
    <s v="Personal Care"/>
    <n v="6.11"/>
    <n v="2"/>
    <n v="0.86"/>
    <n v="13.08"/>
    <n v="0"/>
    <x v="0"/>
  </r>
  <r>
    <n v="886"/>
    <s v="C"/>
    <s v="New York"/>
    <s v="Normal"/>
    <s v="Female"/>
    <s v="Orange Juice"/>
    <s v="Beverages"/>
    <n v="17.829999999999998"/>
    <n v="8"/>
    <n v="9.98"/>
    <n v="152.62"/>
    <n v="0"/>
    <x v="0"/>
  </r>
  <r>
    <n v="887"/>
    <s v="A"/>
    <s v="Chicago"/>
    <s v="Member"/>
    <s v="Female"/>
    <s v="Shampoo"/>
    <s v="Personal Care"/>
    <n v="6.21"/>
    <n v="17"/>
    <n v="7.39"/>
    <n v="112.96"/>
    <n v="11"/>
    <x v="0"/>
  </r>
  <r>
    <n v="888"/>
    <s v="A"/>
    <s v="Chicago"/>
    <s v="Member"/>
    <s v="Female"/>
    <s v="Notebook"/>
    <s v="Stationery"/>
    <n v="10.65"/>
    <n v="19"/>
    <n v="14.16"/>
    <n v="216.51"/>
    <n v="21"/>
    <x v="0"/>
  </r>
  <r>
    <n v="889"/>
    <s v="B"/>
    <s v="Los Angeles"/>
    <s v="Normal"/>
    <s v="Female"/>
    <s v="Orange Juice"/>
    <s v="Beverages"/>
    <n v="2.71"/>
    <n v="19"/>
    <n v="3.6"/>
    <n v="55.09"/>
    <n v="0"/>
    <x v="0"/>
  </r>
  <r>
    <n v="890"/>
    <s v="C"/>
    <s v="New York"/>
    <s v="Member"/>
    <s v="Female"/>
    <s v="Orange Juice"/>
    <s v="Beverages"/>
    <n v="10.27"/>
    <n v="2"/>
    <n v="1.44"/>
    <n v="21.98"/>
    <n v="2"/>
    <x v="0"/>
  </r>
  <r>
    <n v="891"/>
    <s v="A"/>
    <s v="Chicago"/>
    <s v="Normal"/>
    <s v="Female"/>
    <s v="Notebook"/>
    <s v="Stationery"/>
    <n v="18.309999999999999"/>
    <n v="9"/>
    <n v="11.54"/>
    <n v="176.33"/>
    <n v="0"/>
    <x v="0"/>
  </r>
  <r>
    <n v="892"/>
    <s v="A"/>
    <s v="Chicago"/>
    <s v="Member"/>
    <s v="Male"/>
    <s v="Shampoo"/>
    <s v="Personal Care"/>
    <n v="5.95"/>
    <n v="3"/>
    <n v="1.25"/>
    <n v="19.100000000000001"/>
    <n v="1"/>
    <x v="0"/>
  </r>
  <r>
    <n v="893"/>
    <s v="B"/>
    <s v="Los Angeles"/>
    <s v="Normal"/>
    <s v="Female"/>
    <s v="Shampoo"/>
    <s v="Personal Care"/>
    <n v="7.27"/>
    <n v="16"/>
    <n v="8.14"/>
    <n v="124.46"/>
    <n v="0"/>
    <x v="0"/>
  </r>
  <r>
    <n v="894"/>
    <s v="A"/>
    <s v="Chicago"/>
    <s v="Normal"/>
    <s v="Male"/>
    <s v="Apple"/>
    <s v="Fruits"/>
    <n v="9.82"/>
    <n v="14"/>
    <n v="9.6199999999999992"/>
    <n v="147.1"/>
    <n v="0"/>
    <x v="0"/>
  </r>
  <r>
    <n v="895"/>
    <s v="A"/>
    <s v="Chicago"/>
    <s v="Member"/>
    <s v="Male"/>
    <s v="Detergent"/>
    <s v="Household"/>
    <n v="8.24"/>
    <n v="13"/>
    <n v="7.5"/>
    <n v="114.62"/>
    <n v="11"/>
    <x v="0"/>
  </r>
  <r>
    <n v="896"/>
    <s v="B"/>
    <s v="Los Angeles"/>
    <s v="Member"/>
    <s v="Female"/>
    <s v="Orange Juice"/>
    <s v="Beverages"/>
    <n v="4.54"/>
    <n v="10"/>
    <n v="3.18"/>
    <n v="48.58"/>
    <n v="4"/>
    <x v="0"/>
  </r>
  <r>
    <n v="897"/>
    <s v="C"/>
    <s v="New York"/>
    <s v="Normal"/>
    <s v="Female"/>
    <s v="Notebook"/>
    <s v="Stationery"/>
    <n v="17.649999999999999"/>
    <n v="5"/>
    <n v="6.18"/>
    <n v="94.43"/>
    <n v="0"/>
    <x v="0"/>
  </r>
  <r>
    <n v="898"/>
    <s v="B"/>
    <s v="Los Angeles"/>
    <s v="Normal"/>
    <s v="Female"/>
    <s v="Apple"/>
    <s v="Fruits"/>
    <n v="1.54"/>
    <n v="19"/>
    <n v="2.0499999999999998"/>
    <n v="31.31"/>
    <n v="0"/>
    <x v="0"/>
  </r>
  <r>
    <n v="899"/>
    <s v="A"/>
    <s v="Chicago"/>
    <s v="Normal"/>
    <s v="Female"/>
    <s v="Notebook"/>
    <s v="Stationery"/>
    <n v="7.33"/>
    <n v="1"/>
    <n v="0.51"/>
    <n v="7.84"/>
    <n v="0"/>
    <x v="0"/>
  </r>
  <r>
    <n v="900"/>
    <s v="B"/>
    <s v="Los Angeles"/>
    <s v="Normal"/>
    <s v="Male"/>
    <s v="Orange Juice"/>
    <s v="Beverages"/>
    <n v="5.36"/>
    <n v="2"/>
    <n v="0.75"/>
    <n v="11.47"/>
    <n v="0"/>
    <x v="0"/>
  </r>
  <r>
    <n v="901"/>
    <s v="A"/>
    <s v="Chicago"/>
    <s v="Member"/>
    <s v="Male"/>
    <s v="Apple"/>
    <s v="Fruits"/>
    <n v="16.100000000000001"/>
    <n v="6"/>
    <n v="6.76"/>
    <n v="103.36"/>
    <n v="10"/>
    <x v="0"/>
  </r>
  <r>
    <n v="902"/>
    <s v="C"/>
    <s v="New York"/>
    <s v="Normal"/>
    <s v="Male"/>
    <s v="Detergent"/>
    <s v="Household"/>
    <n v="13.4"/>
    <n v="17"/>
    <n v="15.95"/>
    <n v="243.75"/>
    <n v="0"/>
    <x v="0"/>
  </r>
  <r>
    <n v="903"/>
    <s v="B"/>
    <s v="Los Angeles"/>
    <s v="Member"/>
    <s v="Male"/>
    <s v="Shampoo"/>
    <s v="Personal Care"/>
    <n v="20.92"/>
    <n v="18"/>
    <n v="26.36"/>
    <n v="402.92"/>
    <n v="40"/>
    <x v="1"/>
  </r>
  <r>
    <n v="904"/>
    <s v="A"/>
    <s v="Chicago"/>
    <s v="Member"/>
    <s v="Female"/>
    <s v="Shampoo"/>
    <s v="Personal Care"/>
    <n v="18.41"/>
    <n v="7"/>
    <n v="9.02"/>
    <n v="137.88999999999999"/>
    <n v="13"/>
    <x v="0"/>
  </r>
  <r>
    <n v="905"/>
    <s v="B"/>
    <s v="Los Angeles"/>
    <s v="Member"/>
    <s v="Male"/>
    <s v="Notebook"/>
    <s v="Stationery"/>
    <n v="20.260000000000002"/>
    <n v="2"/>
    <n v="2.84"/>
    <n v="43.36"/>
    <n v="4"/>
    <x v="0"/>
  </r>
  <r>
    <n v="906"/>
    <s v="C"/>
    <s v="New York"/>
    <s v="Normal"/>
    <s v="Male"/>
    <s v="Detergent"/>
    <s v="Household"/>
    <n v="20.68"/>
    <n v="14"/>
    <n v="20.27"/>
    <n v="309.79000000000002"/>
    <n v="0"/>
    <x v="0"/>
  </r>
  <r>
    <n v="907"/>
    <s v="A"/>
    <s v="Chicago"/>
    <s v="Member"/>
    <s v="Female"/>
    <s v="Shampoo"/>
    <s v="Personal Care"/>
    <n v="16.57"/>
    <n v="17"/>
    <n v="19.72"/>
    <n v="301.41000000000003"/>
    <n v="30"/>
    <x v="0"/>
  </r>
  <r>
    <n v="908"/>
    <s v="B"/>
    <s v="Los Angeles"/>
    <s v="Normal"/>
    <s v="Male"/>
    <s v="Detergent"/>
    <s v="Household"/>
    <n v="5.33"/>
    <n v="2"/>
    <n v="0.75"/>
    <n v="11.41"/>
    <n v="0"/>
    <x v="0"/>
  </r>
  <r>
    <n v="909"/>
    <s v="C"/>
    <s v="New York"/>
    <s v="Member"/>
    <s v="Female"/>
    <s v="Orange Juice"/>
    <s v="Beverages"/>
    <n v="16.32"/>
    <n v="17"/>
    <n v="19.420000000000002"/>
    <n v="296.86"/>
    <n v="29"/>
    <x v="0"/>
  </r>
  <r>
    <n v="910"/>
    <s v="B"/>
    <s v="Los Angeles"/>
    <s v="Member"/>
    <s v="Male"/>
    <s v="Shampoo"/>
    <s v="Personal Care"/>
    <n v="10.119999999999999"/>
    <n v="12"/>
    <n v="8.5"/>
    <n v="129.94"/>
    <n v="12"/>
    <x v="0"/>
  </r>
  <r>
    <n v="911"/>
    <s v="A"/>
    <s v="Chicago"/>
    <s v="Member"/>
    <s v="Male"/>
    <s v="Shampoo"/>
    <s v="Personal Care"/>
    <n v="10.51"/>
    <n v="5"/>
    <n v="3.68"/>
    <n v="56.23"/>
    <n v="5"/>
    <x v="0"/>
  </r>
  <r>
    <n v="912"/>
    <s v="C"/>
    <s v="New York"/>
    <s v="Normal"/>
    <s v="Female"/>
    <s v="Notebook"/>
    <s v="Stationery"/>
    <n v="6.32"/>
    <n v="4"/>
    <n v="1.77"/>
    <n v="27.05"/>
    <n v="0"/>
    <x v="0"/>
  </r>
  <r>
    <n v="913"/>
    <s v="C"/>
    <s v="New York"/>
    <s v="Member"/>
    <s v="Male"/>
    <s v="Detergent"/>
    <s v="Household"/>
    <n v="12.12"/>
    <n v="9"/>
    <n v="7.64"/>
    <n v="116.72"/>
    <n v="11"/>
    <x v="0"/>
  </r>
  <r>
    <n v="914"/>
    <s v="C"/>
    <s v="New York"/>
    <s v="Member"/>
    <s v="Female"/>
    <s v="Apple"/>
    <s v="Fruits"/>
    <n v="10.69"/>
    <n v="2"/>
    <n v="1.5"/>
    <n v="22.88"/>
    <n v="2"/>
    <x v="0"/>
  </r>
  <r>
    <n v="915"/>
    <s v="A"/>
    <s v="Chicago"/>
    <s v="Member"/>
    <s v="Male"/>
    <s v="Detergent"/>
    <s v="Household"/>
    <n v="15.85"/>
    <n v="16"/>
    <n v="17.75"/>
    <n v="271.35000000000002"/>
    <n v="27"/>
    <x v="0"/>
  </r>
  <r>
    <n v="916"/>
    <s v="A"/>
    <s v="Chicago"/>
    <s v="Normal"/>
    <s v="Male"/>
    <s v="Apple"/>
    <s v="Fruits"/>
    <n v="4.5999999999999996"/>
    <n v="7"/>
    <n v="2.25"/>
    <n v="34.450000000000003"/>
    <n v="0"/>
    <x v="0"/>
  </r>
  <r>
    <n v="917"/>
    <s v="C"/>
    <s v="New York"/>
    <s v="Normal"/>
    <s v="Female"/>
    <s v="Apple"/>
    <s v="Fruits"/>
    <n v="5.18"/>
    <n v="3"/>
    <n v="1.0900000000000001"/>
    <n v="16.63"/>
    <n v="0"/>
    <x v="0"/>
  </r>
  <r>
    <n v="918"/>
    <s v="C"/>
    <s v="New York"/>
    <s v="Member"/>
    <s v="Male"/>
    <s v="Orange Juice"/>
    <s v="Beverages"/>
    <n v="6.64"/>
    <n v="11"/>
    <n v="5.1100000000000003"/>
    <n v="78.150000000000006"/>
    <n v="7"/>
    <x v="0"/>
  </r>
  <r>
    <n v="919"/>
    <s v="C"/>
    <s v="New York"/>
    <s v="Member"/>
    <s v="Female"/>
    <s v="Apple"/>
    <s v="Fruits"/>
    <n v="16.03"/>
    <n v="19"/>
    <n v="21.32"/>
    <n v="325.89"/>
    <n v="32"/>
    <x v="0"/>
  </r>
  <r>
    <n v="920"/>
    <s v="B"/>
    <s v="Los Angeles"/>
    <s v="Normal"/>
    <s v="Female"/>
    <s v="Shampoo"/>
    <s v="Personal Care"/>
    <n v="14.18"/>
    <n v="12"/>
    <n v="11.91"/>
    <n v="182.07"/>
    <n v="0"/>
    <x v="0"/>
  </r>
  <r>
    <n v="921"/>
    <s v="A"/>
    <s v="Chicago"/>
    <s v="Member"/>
    <s v="Female"/>
    <s v="Detergent"/>
    <s v="Household"/>
    <n v="17.989999999999998"/>
    <n v="12"/>
    <n v="15.11"/>
    <n v="230.99"/>
    <n v="23"/>
    <x v="0"/>
  </r>
  <r>
    <n v="922"/>
    <s v="C"/>
    <s v="New York"/>
    <s v="Member"/>
    <s v="Female"/>
    <s v="Shampoo"/>
    <s v="Personal Care"/>
    <n v="12.99"/>
    <n v="13"/>
    <n v="11.82"/>
    <n v="180.69"/>
    <n v="18"/>
    <x v="0"/>
  </r>
  <r>
    <n v="923"/>
    <s v="C"/>
    <s v="New York"/>
    <s v="Member"/>
    <s v="Female"/>
    <s v="Apple"/>
    <s v="Fruits"/>
    <n v="13.91"/>
    <n v="4"/>
    <n v="3.89"/>
    <n v="59.53"/>
    <n v="5"/>
    <x v="0"/>
  </r>
  <r>
    <n v="924"/>
    <s v="C"/>
    <s v="New York"/>
    <s v="Normal"/>
    <s v="Male"/>
    <s v="Orange Juice"/>
    <s v="Beverages"/>
    <n v="2.23"/>
    <n v="3"/>
    <n v="0.47"/>
    <n v="7.16"/>
    <n v="0"/>
    <x v="0"/>
  </r>
  <r>
    <n v="925"/>
    <s v="B"/>
    <s v="Los Angeles"/>
    <s v="Member"/>
    <s v="Female"/>
    <s v="Notebook"/>
    <s v="Stationery"/>
    <n v="19.96"/>
    <n v="4"/>
    <n v="5.59"/>
    <n v="85.43"/>
    <n v="8"/>
    <x v="0"/>
  </r>
  <r>
    <n v="926"/>
    <s v="C"/>
    <s v="New York"/>
    <s v="Normal"/>
    <s v="Male"/>
    <s v="Orange Juice"/>
    <s v="Beverages"/>
    <n v="17.690000000000001"/>
    <n v="19"/>
    <n v="23.53"/>
    <n v="359.64"/>
    <n v="0"/>
    <x v="0"/>
  </r>
  <r>
    <n v="927"/>
    <s v="A"/>
    <s v="Chicago"/>
    <s v="Member"/>
    <s v="Male"/>
    <s v="Shampoo"/>
    <s v="Personal Care"/>
    <n v="8.3800000000000008"/>
    <n v="17"/>
    <n v="9.9700000000000006"/>
    <n v="152.43"/>
    <n v="15"/>
    <x v="0"/>
  </r>
  <r>
    <n v="928"/>
    <s v="C"/>
    <s v="New York"/>
    <s v="Member"/>
    <s v="Female"/>
    <s v="Detergent"/>
    <s v="Household"/>
    <n v="9.4"/>
    <n v="3"/>
    <n v="1.97"/>
    <n v="30.17"/>
    <n v="3"/>
    <x v="0"/>
  </r>
  <r>
    <n v="929"/>
    <s v="B"/>
    <s v="Los Angeles"/>
    <s v="Normal"/>
    <s v="Male"/>
    <s v="Shampoo"/>
    <s v="Personal Care"/>
    <n v="4.6900000000000004"/>
    <n v="9"/>
    <n v="2.95"/>
    <n v="45.16"/>
    <n v="0"/>
    <x v="0"/>
  </r>
  <r>
    <n v="930"/>
    <s v="B"/>
    <s v="Los Angeles"/>
    <s v="Member"/>
    <s v="Male"/>
    <s v="Detergent"/>
    <s v="Household"/>
    <n v="4.71"/>
    <n v="18"/>
    <n v="5.93"/>
    <n v="90.71"/>
    <n v="9"/>
    <x v="0"/>
  </r>
  <r>
    <n v="931"/>
    <s v="C"/>
    <s v="New York"/>
    <s v="Member"/>
    <s v="Male"/>
    <s v="Detergent"/>
    <s v="Household"/>
    <n v="15.74"/>
    <n v="19"/>
    <n v="20.93"/>
    <n v="319.99"/>
    <n v="31"/>
    <x v="0"/>
  </r>
  <r>
    <n v="932"/>
    <s v="B"/>
    <s v="Los Angeles"/>
    <s v="Normal"/>
    <s v="Male"/>
    <s v="Shampoo"/>
    <s v="Personal Care"/>
    <n v="15.45"/>
    <n v="11"/>
    <n v="11.9"/>
    <n v="181.85"/>
    <n v="0"/>
    <x v="0"/>
  </r>
  <r>
    <n v="933"/>
    <s v="C"/>
    <s v="New York"/>
    <s v="Member"/>
    <s v="Female"/>
    <s v="Orange Juice"/>
    <s v="Beverages"/>
    <n v="18.54"/>
    <n v="11"/>
    <n v="14.28"/>
    <n v="218.22"/>
    <n v="21"/>
    <x v="0"/>
  </r>
  <r>
    <n v="934"/>
    <s v="C"/>
    <s v="New York"/>
    <s v="Member"/>
    <s v="Female"/>
    <s v="Orange Juice"/>
    <s v="Beverages"/>
    <n v="3.24"/>
    <n v="3"/>
    <n v="0.68"/>
    <n v="10.4"/>
    <n v="1"/>
    <x v="0"/>
  </r>
  <r>
    <n v="935"/>
    <s v="A"/>
    <s v="Chicago"/>
    <s v="Normal"/>
    <s v="Female"/>
    <s v="Shampoo"/>
    <s v="Personal Care"/>
    <n v="7.94"/>
    <n v="18"/>
    <n v="10"/>
    <n v="152.91999999999999"/>
    <n v="0"/>
    <x v="0"/>
  </r>
  <r>
    <n v="936"/>
    <s v="B"/>
    <s v="Los Angeles"/>
    <s v="Member"/>
    <s v="Male"/>
    <s v="Apple"/>
    <s v="Fruits"/>
    <n v="5.92"/>
    <n v="7"/>
    <n v="2.9"/>
    <n v="44.34"/>
    <n v="4"/>
    <x v="0"/>
  </r>
  <r>
    <n v="937"/>
    <s v="A"/>
    <s v="Chicago"/>
    <s v="Member"/>
    <s v="Female"/>
    <s v="Shampoo"/>
    <s v="Personal Care"/>
    <n v="5.8"/>
    <n v="18"/>
    <n v="7.31"/>
    <n v="111.71"/>
    <n v="11"/>
    <x v="0"/>
  </r>
  <r>
    <n v="938"/>
    <s v="C"/>
    <s v="New York"/>
    <s v="Member"/>
    <s v="Female"/>
    <s v="Shampoo"/>
    <s v="Personal Care"/>
    <n v="12.98"/>
    <n v="12"/>
    <n v="10.9"/>
    <n v="166.66"/>
    <n v="16"/>
    <x v="0"/>
  </r>
  <r>
    <n v="939"/>
    <s v="C"/>
    <s v="New York"/>
    <s v="Normal"/>
    <s v="Male"/>
    <s v="Apple"/>
    <s v="Fruits"/>
    <n v="5.0999999999999996"/>
    <n v="2"/>
    <n v="0.71"/>
    <n v="10.91"/>
    <n v="0"/>
    <x v="0"/>
  </r>
  <r>
    <n v="940"/>
    <s v="C"/>
    <s v="New York"/>
    <s v="Member"/>
    <s v="Female"/>
    <s v="Notebook"/>
    <s v="Stationery"/>
    <n v="19.02"/>
    <n v="6"/>
    <n v="7.99"/>
    <n v="122.11"/>
    <n v="12"/>
    <x v="0"/>
  </r>
  <r>
    <n v="941"/>
    <s v="A"/>
    <s v="Chicago"/>
    <s v="Member"/>
    <s v="Female"/>
    <s v="Orange Juice"/>
    <s v="Beverages"/>
    <n v="8.9499999999999993"/>
    <n v="7"/>
    <n v="4.3899999999999997"/>
    <n v="67.040000000000006"/>
    <n v="6"/>
    <x v="0"/>
  </r>
  <r>
    <n v="942"/>
    <s v="C"/>
    <s v="New York"/>
    <s v="Normal"/>
    <s v="Female"/>
    <s v="Shampoo"/>
    <s v="Personal Care"/>
    <n v="10.92"/>
    <n v="18"/>
    <n v="13.76"/>
    <n v="210.32"/>
    <n v="0"/>
    <x v="0"/>
  </r>
  <r>
    <n v="943"/>
    <s v="C"/>
    <s v="New York"/>
    <s v="Member"/>
    <s v="Male"/>
    <s v="Apple"/>
    <s v="Fruits"/>
    <n v="10.77"/>
    <n v="4"/>
    <n v="3.02"/>
    <n v="46.1"/>
    <n v="4"/>
    <x v="0"/>
  </r>
  <r>
    <n v="944"/>
    <s v="B"/>
    <s v="Los Angeles"/>
    <s v="Normal"/>
    <s v="Female"/>
    <s v="Orange Juice"/>
    <s v="Beverages"/>
    <n v="3.14"/>
    <n v="19"/>
    <n v="4.18"/>
    <n v="63.84"/>
    <n v="0"/>
    <x v="0"/>
  </r>
  <r>
    <n v="945"/>
    <s v="B"/>
    <s v="Los Angeles"/>
    <s v="Member"/>
    <s v="Female"/>
    <s v="Orange Juice"/>
    <s v="Beverages"/>
    <n v="13.01"/>
    <n v="16"/>
    <n v="14.57"/>
    <n v="222.73"/>
    <n v="22"/>
    <x v="0"/>
  </r>
  <r>
    <n v="946"/>
    <s v="A"/>
    <s v="Chicago"/>
    <s v="Normal"/>
    <s v="Male"/>
    <s v="Notebook"/>
    <s v="Stationery"/>
    <n v="7.43"/>
    <n v="8"/>
    <n v="4.16"/>
    <n v="63.6"/>
    <n v="0"/>
    <x v="0"/>
  </r>
  <r>
    <n v="947"/>
    <s v="A"/>
    <s v="Chicago"/>
    <s v="Normal"/>
    <s v="Male"/>
    <s v="Notebook"/>
    <s v="Stationery"/>
    <n v="13.7"/>
    <n v="20"/>
    <n v="19.18"/>
    <n v="293.18"/>
    <n v="0"/>
    <x v="0"/>
  </r>
  <r>
    <n v="948"/>
    <s v="C"/>
    <s v="New York"/>
    <s v="Normal"/>
    <s v="Male"/>
    <s v="Orange Juice"/>
    <s v="Beverages"/>
    <n v="15.49"/>
    <n v="16"/>
    <n v="17.350000000000001"/>
    <n v="265.19"/>
    <n v="0"/>
    <x v="0"/>
  </r>
  <r>
    <n v="949"/>
    <s v="B"/>
    <s v="Los Angeles"/>
    <s v="Member"/>
    <s v="Female"/>
    <s v="Shampoo"/>
    <s v="Personal Care"/>
    <n v="19.420000000000002"/>
    <n v="2"/>
    <n v="2.72"/>
    <n v="41.56"/>
    <n v="4"/>
    <x v="0"/>
  </r>
  <r>
    <n v="950"/>
    <s v="A"/>
    <s v="Chicago"/>
    <s v="Normal"/>
    <s v="Male"/>
    <s v="Shampoo"/>
    <s v="Personal Care"/>
    <n v="10.56"/>
    <n v="18"/>
    <n v="13.31"/>
    <n v="203.39"/>
    <n v="0"/>
    <x v="0"/>
  </r>
  <r>
    <n v="951"/>
    <s v="A"/>
    <s v="Chicago"/>
    <s v="Member"/>
    <s v="Male"/>
    <s v="Shampoo"/>
    <s v="Personal Care"/>
    <n v="20.11"/>
    <n v="14"/>
    <n v="19.71"/>
    <n v="301.25"/>
    <n v="30"/>
    <x v="0"/>
  </r>
  <r>
    <n v="952"/>
    <s v="A"/>
    <s v="Chicago"/>
    <s v="Normal"/>
    <s v="Male"/>
    <s v="Orange Juice"/>
    <s v="Beverages"/>
    <n v="19.88"/>
    <n v="1"/>
    <n v="1.39"/>
    <n v="21.27"/>
    <n v="0"/>
    <x v="0"/>
  </r>
  <r>
    <n v="953"/>
    <s v="A"/>
    <s v="Chicago"/>
    <s v="Normal"/>
    <s v="Male"/>
    <s v="Notebook"/>
    <s v="Stationery"/>
    <n v="4.72"/>
    <n v="20"/>
    <n v="6.61"/>
    <n v="101.01"/>
    <n v="0"/>
    <x v="0"/>
  </r>
  <r>
    <n v="954"/>
    <s v="A"/>
    <s v="Chicago"/>
    <s v="Member"/>
    <s v="Male"/>
    <s v="Apple"/>
    <s v="Fruits"/>
    <n v="13.18"/>
    <n v="13"/>
    <n v="11.99"/>
    <n v="183.33"/>
    <n v="18"/>
    <x v="0"/>
  </r>
  <r>
    <n v="955"/>
    <s v="A"/>
    <s v="Chicago"/>
    <s v="Member"/>
    <s v="Male"/>
    <s v="Orange Juice"/>
    <s v="Beverages"/>
    <n v="20.81"/>
    <n v="17"/>
    <n v="24.76"/>
    <n v="378.53"/>
    <n v="37"/>
    <x v="0"/>
  </r>
  <r>
    <n v="956"/>
    <s v="A"/>
    <s v="Chicago"/>
    <s v="Member"/>
    <s v="Female"/>
    <s v="Orange Juice"/>
    <s v="Beverages"/>
    <n v="17.18"/>
    <n v="19"/>
    <n v="22.85"/>
    <n v="349.27"/>
    <n v="34"/>
    <x v="0"/>
  </r>
  <r>
    <n v="957"/>
    <s v="A"/>
    <s v="Chicago"/>
    <s v="Member"/>
    <s v="Male"/>
    <s v="Shampoo"/>
    <s v="Personal Care"/>
    <n v="20.12"/>
    <n v="14"/>
    <n v="19.72"/>
    <n v="301.39999999999998"/>
    <n v="30"/>
    <x v="0"/>
  </r>
  <r>
    <n v="958"/>
    <s v="C"/>
    <s v="New York"/>
    <s v="Member"/>
    <s v="Female"/>
    <s v="Notebook"/>
    <s v="Stationery"/>
    <n v="20.28"/>
    <n v="20"/>
    <n v="28.39"/>
    <n v="433.99"/>
    <n v="43"/>
    <x v="1"/>
  </r>
  <r>
    <n v="959"/>
    <s v="A"/>
    <s v="Chicago"/>
    <s v="Normal"/>
    <s v="Male"/>
    <s v="Detergent"/>
    <s v="Household"/>
    <n v="1.91"/>
    <n v="5"/>
    <n v="0.67"/>
    <n v="10.220000000000001"/>
    <n v="0"/>
    <x v="0"/>
  </r>
  <r>
    <n v="960"/>
    <s v="A"/>
    <s v="Chicago"/>
    <s v="Member"/>
    <s v="Female"/>
    <s v="Apple"/>
    <s v="Fruits"/>
    <n v="8.7799999999999994"/>
    <n v="8"/>
    <n v="4.92"/>
    <n v="75.16"/>
    <n v="7"/>
    <x v="0"/>
  </r>
  <r>
    <n v="961"/>
    <s v="A"/>
    <s v="Chicago"/>
    <s v="Member"/>
    <s v="Male"/>
    <s v="Notebook"/>
    <s v="Stationery"/>
    <n v="10.37"/>
    <n v="9"/>
    <n v="6.53"/>
    <n v="99.86"/>
    <n v="9"/>
    <x v="0"/>
  </r>
  <r>
    <n v="962"/>
    <s v="A"/>
    <s v="Chicago"/>
    <s v="Normal"/>
    <s v="Male"/>
    <s v="Apple"/>
    <s v="Fruits"/>
    <n v="12.94"/>
    <n v="3"/>
    <n v="2.72"/>
    <n v="41.54"/>
    <n v="0"/>
    <x v="0"/>
  </r>
  <r>
    <n v="963"/>
    <s v="B"/>
    <s v="Los Angeles"/>
    <s v="Normal"/>
    <s v="Male"/>
    <s v="Apple"/>
    <s v="Fruits"/>
    <n v="17.010000000000002"/>
    <n v="15"/>
    <n v="17.86"/>
    <n v="273.01"/>
    <n v="0"/>
    <x v="0"/>
  </r>
  <r>
    <n v="964"/>
    <s v="C"/>
    <s v="New York"/>
    <s v="Normal"/>
    <s v="Female"/>
    <s v="Detergent"/>
    <s v="Household"/>
    <n v="16.149999999999999"/>
    <n v="7"/>
    <n v="7.91"/>
    <n v="120.96"/>
    <n v="0"/>
    <x v="0"/>
  </r>
  <r>
    <n v="965"/>
    <s v="B"/>
    <s v="Los Angeles"/>
    <s v="Normal"/>
    <s v="Female"/>
    <s v="Detergent"/>
    <s v="Household"/>
    <n v="9.14"/>
    <n v="12"/>
    <n v="7.68"/>
    <n v="117.36"/>
    <n v="0"/>
    <x v="0"/>
  </r>
  <r>
    <n v="966"/>
    <s v="A"/>
    <s v="Chicago"/>
    <s v="Member"/>
    <s v="Female"/>
    <s v="Notebook"/>
    <s v="Stationery"/>
    <n v="5.99"/>
    <n v="20"/>
    <n v="8.39"/>
    <n v="128.19"/>
    <n v="12"/>
    <x v="0"/>
  </r>
  <r>
    <n v="967"/>
    <s v="B"/>
    <s v="Los Angeles"/>
    <s v="Member"/>
    <s v="Male"/>
    <s v="Notebook"/>
    <s v="Stationery"/>
    <n v="3.31"/>
    <n v="20"/>
    <n v="4.63"/>
    <n v="70.83"/>
    <n v="7"/>
    <x v="0"/>
  </r>
  <r>
    <n v="968"/>
    <s v="C"/>
    <s v="New York"/>
    <s v="Normal"/>
    <s v="Male"/>
    <s v="Detergent"/>
    <s v="Household"/>
    <n v="14.02"/>
    <n v="2"/>
    <n v="1.96"/>
    <n v="30"/>
    <n v="0"/>
    <x v="0"/>
  </r>
  <r>
    <n v="969"/>
    <s v="C"/>
    <s v="New York"/>
    <s v="Normal"/>
    <s v="Male"/>
    <s v="Apple"/>
    <s v="Fruits"/>
    <n v="7.63"/>
    <n v="11"/>
    <n v="5.88"/>
    <n v="89.81"/>
    <n v="0"/>
    <x v="0"/>
  </r>
  <r>
    <n v="970"/>
    <s v="C"/>
    <s v="New York"/>
    <s v="Normal"/>
    <s v="Male"/>
    <s v="Notebook"/>
    <s v="Stationery"/>
    <n v="18.7"/>
    <n v="6"/>
    <n v="7.85"/>
    <n v="120.05"/>
    <n v="0"/>
    <x v="0"/>
  </r>
  <r>
    <n v="971"/>
    <s v="A"/>
    <s v="Chicago"/>
    <s v="Normal"/>
    <s v="Male"/>
    <s v="Shampoo"/>
    <s v="Personal Care"/>
    <n v="7.12"/>
    <n v="19"/>
    <n v="9.4700000000000006"/>
    <n v="144.75"/>
    <n v="0"/>
    <x v="0"/>
  </r>
  <r>
    <n v="972"/>
    <s v="C"/>
    <s v="New York"/>
    <s v="Normal"/>
    <s v="Female"/>
    <s v="Shampoo"/>
    <s v="Personal Care"/>
    <n v="13.28"/>
    <n v="2"/>
    <n v="1.86"/>
    <n v="28.42"/>
    <n v="0"/>
    <x v="0"/>
  </r>
  <r>
    <n v="973"/>
    <s v="C"/>
    <s v="New York"/>
    <s v="Member"/>
    <s v="Female"/>
    <s v="Detergent"/>
    <s v="Household"/>
    <n v="6.22"/>
    <n v="10"/>
    <n v="4.3499999999999996"/>
    <n v="66.55"/>
    <n v="6"/>
    <x v="0"/>
  </r>
  <r>
    <n v="974"/>
    <s v="C"/>
    <s v="New York"/>
    <s v="Normal"/>
    <s v="Female"/>
    <s v="Notebook"/>
    <s v="Stationery"/>
    <n v="6.41"/>
    <n v="8"/>
    <n v="3.59"/>
    <n v="54.87"/>
    <n v="0"/>
    <x v="0"/>
  </r>
  <r>
    <n v="975"/>
    <s v="C"/>
    <s v="New York"/>
    <s v="Member"/>
    <s v="Male"/>
    <s v="Detergent"/>
    <s v="Household"/>
    <n v="10.01"/>
    <n v="2"/>
    <n v="1.4"/>
    <n v="21.42"/>
    <n v="2"/>
    <x v="0"/>
  </r>
  <r>
    <n v="976"/>
    <s v="C"/>
    <s v="New York"/>
    <s v="Member"/>
    <s v="Male"/>
    <s v="Shampoo"/>
    <s v="Personal Care"/>
    <n v="7.51"/>
    <n v="11"/>
    <n v="5.78"/>
    <n v="88.39"/>
    <n v="8"/>
    <x v="0"/>
  </r>
  <r>
    <n v="977"/>
    <s v="A"/>
    <s v="Chicago"/>
    <s v="Member"/>
    <s v="Female"/>
    <s v="Apple"/>
    <s v="Fruits"/>
    <n v="15.18"/>
    <n v="7"/>
    <n v="7.44"/>
    <n v="113.7"/>
    <n v="11"/>
    <x v="0"/>
  </r>
  <r>
    <n v="978"/>
    <s v="B"/>
    <s v="Los Angeles"/>
    <s v="Member"/>
    <s v="Male"/>
    <s v="Notebook"/>
    <s v="Stationery"/>
    <n v="2.04"/>
    <n v="10"/>
    <n v="1.43"/>
    <n v="21.83"/>
    <n v="2"/>
    <x v="0"/>
  </r>
  <r>
    <n v="979"/>
    <s v="A"/>
    <s v="Chicago"/>
    <s v="Member"/>
    <s v="Female"/>
    <s v="Orange Juice"/>
    <s v="Beverages"/>
    <n v="18.34"/>
    <n v="13"/>
    <n v="16.690000000000001"/>
    <n v="255.11"/>
    <n v="25"/>
    <x v="0"/>
  </r>
  <r>
    <n v="980"/>
    <s v="B"/>
    <s v="Los Angeles"/>
    <s v="Normal"/>
    <s v="Male"/>
    <s v="Orange Juice"/>
    <s v="Beverages"/>
    <n v="1.0900000000000001"/>
    <n v="8"/>
    <n v="0.61"/>
    <n v="9.33"/>
    <n v="0"/>
    <x v="0"/>
  </r>
  <r>
    <n v="981"/>
    <s v="C"/>
    <s v="New York"/>
    <s v="Member"/>
    <s v="Male"/>
    <s v="Shampoo"/>
    <s v="Personal Care"/>
    <n v="17.559999999999999"/>
    <n v="16"/>
    <n v="19.670000000000002"/>
    <n v="300.63"/>
    <n v="30"/>
    <x v="0"/>
  </r>
  <r>
    <n v="982"/>
    <s v="A"/>
    <s v="Chicago"/>
    <s v="Member"/>
    <s v="Male"/>
    <s v="Apple"/>
    <s v="Fruits"/>
    <n v="1.23"/>
    <n v="1"/>
    <n v="0.09"/>
    <n v="1.32"/>
    <n v="0"/>
    <x v="0"/>
  </r>
  <r>
    <n v="983"/>
    <s v="A"/>
    <s v="Chicago"/>
    <s v="Normal"/>
    <s v="Female"/>
    <s v="Apple"/>
    <s v="Fruits"/>
    <n v="8.02"/>
    <n v="9"/>
    <n v="5.05"/>
    <n v="77.23"/>
    <n v="0"/>
    <x v="0"/>
  </r>
  <r>
    <n v="984"/>
    <s v="B"/>
    <s v="Los Angeles"/>
    <s v="Member"/>
    <s v="Female"/>
    <s v="Orange Juice"/>
    <s v="Beverages"/>
    <n v="11.14"/>
    <n v="2"/>
    <n v="1.56"/>
    <n v="23.84"/>
    <n v="2"/>
    <x v="0"/>
  </r>
  <r>
    <n v="985"/>
    <s v="A"/>
    <s v="Chicago"/>
    <s v="Member"/>
    <s v="Male"/>
    <s v="Shampoo"/>
    <s v="Personal Care"/>
    <n v="20.96"/>
    <n v="2"/>
    <n v="2.93"/>
    <n v="44.85"/>
    <n v="4"/>
    <x v="0"/>
  </r>
  <r>
    <n v="986"/>
    <s v="C"/>
    <s v="New York"/>
    <s v="Member"/>
    <s v="Male"/>
    <s v="Orange Juice"/>
    <s v="Beverages"/>
    <n v="6.85"/>
    <n v="19"/>
    <n v="9.11"/>
    <n v="139.26"/>
    <n v="13"/>
    <x v="0"/>
  </r>
  <r>
    <n v="987"/>
    <s v="C"/>
    <s v="New York"/>
    <s v="Normal"/>
    <s v="Male"/>
    <s v="Apple"/>
    <s v="Fruits"/>
    <n v="2.31"/>
    <n v="19"/>
    <n v="3.07"/>
    <n v="46.96"/>
    <n v="0"/>
    <x v="0"/>
  </r>
  <r>
    <n v="988"/>
    <s v="C"/>
    <s v="New York"/>
    <s v="Member"/>
    <s v="Female"/>
    <s v="Apple"/>
    <s v="Fruits"/>
    <n v="11.35"/>
    <n v="9"/>
    <n v="7.15"/>
    <n v="109.3"/>
    <n v="10"/>
    <x v="0"/>
  </r>
  <r>
    <n v="989"/>
    <s v="B"/>
    <s v="Los Angeles"/>
    <s v="Member"/>
    <s v="Female"/>
    <s v="Shampoo"/>
    <s v="Personal Care"/>
    <n v="10.49"/>
    <n v="9"/>
    <n v="6.61"/>
    <n v="101.02"/>
    <n v="10"/>
    <x v="0"/>
  </r>
  <r>
    <n v="990"/>
    <s v="A"/>
    <s v="Chicago"/>
    <s v="Member"/>
    <s v="Female"/>
    <s v="Notebook"/>
    <s v="Stationery"/>
    <n v="5.67"/>
    <n v="10"/>
    <n v="3.97"/>
    <n v="60.67"/>
    <n v="6"/>
    <x v="0"/>
  </r>
  <r>
    <n v="991"/>
    <s v="A"/>
    <s v="Chicago"/>
    <s v="Normal"/>
    <s v="Female"/>
    <s v="Detergent"/>
    <s v="Household"/>
    <n v="8.18"/>
    <n v="1"/>
    <n v="0.56999999999999995"/>
    <n v="8.75"/>
    <n v="0"/>
    <x v="0"/>
  </r>
  <r>
    <n v="992"/>
    <s v="C"/>
    <s v="New York"/>
    <s v="Normal"/>
    <s v="Male"/>
    <s v="Notebook"/>
    <s v="Stationery"/>
    <n v="11.33"/>
    <n v="9"/>
    <n v="7.14"/>
    <n v="109.11"/>
    <n v="0"/>
    <x v="0"/>
  </r>
  <r>
    <n v="993"/>
    <s v="C"/>
    <s v="New York"/>
    <s v="Normal"/>
    <s v="Female"/>
    <s v="Apple"/>
    <s v="Fruits"/>
    <n v="4.59"/>
    <n v="19"/>
    <n v="6.1"/>
    <n v="93.31"/>
    <n v="0"/>
    <x v="0"/>
  </r>
  <r>
    <n v="994"/>
    <s v="C"/>
    <s v="New York"/>
    <s v="Normal"/>
    <s v="Female"/>
    <s v="Orange Juice"/>
    <s v="Beverages"/>
    <n v="5.16"/>
    <n v="13"/>
    <n v="4.7"/>
    <n v="71.78"/>
    <n v="0"/>
    <x v="0"/>
  </r>
  <r>
    <n v="995"/>
    <s v="C"/>
    <s v="New York"/>
    <s v="Member"/>
    <s v="Male"/>
    <s v="Notebook"/>
    <s v="Stationery"/>
    <n v="6.6"/>
    <n v="5"/>
    <n v="2.31"/>
    <n v="35.31"/>
    <n v="3"/>
    <x v="0"/>
  </r>
  <r>
    <n v="996"/>
    <s v="C"/>
    <s v="New York"/>
    <s v="Member"/>
    <s v="Female"/>
    <s v="Shampoo"/>
    <s v="Personal Care"/>
    <n v="1.55"/>
    <n v="11"/>
    <n v="1.19"/>
    <n v="18.239999999999998"/>
    <n v="1"/>
    <x v="0"/>
  </r>
  <r>
    <n v="997"/>
    <s v="C"/>
    <s v="New York"/>
    <s v="Member"/>
    <s v="Male"/>
    <s v="Detergent"/>
    <s v="Household"/>
    <n v="2.44"/>
    <n v="7"/>
    <n v="1.2"/>
    <n v="18.28"/>
    <n v="1"/>
    <x v="0"/>
  </r>
  <r>
    <n v="998"/>
    <s v="C"/>
    <s v="New York"/>
    <s v="Member"/>
    <s v="Female"/>
    <s v="Shampoo"/>
    <s v="Personal Care"/>
    <n v="17.920000000000002"/>
    <n v="2"/>
    <n v="2.5099999999999998"/>
    <n v="38.35"/>
    <n v="3"/>
    <x v="0"/>
  </r>
  <r>
    <n v="999"/>
    <s v="C"/>
    <s v="New York"/>
    <s v="Member"/>
    <s v="Female"/>
    <s v="Shampoo"/>
    <s v="Personal Care"/>
    <n v="17.41"/>
    <n v="4"/>
    <n v="4.87"/>
    <n v="74.510000000000005"/>
    <n v="7"/>
    <x v="0"/>
  </r>
  <r>
    <n v="1000"/>
    <s v="C"/>
    <s v="New York"/>
    <s v="Normal"/>
    <s v="Male"/>
    <s v="Orange Juice"/>
    <s v="Beverages"/>
    <n v="4.1100000000000003"/>
    <n v="4"/>
    <n v="1.1499999999999999"/>
    <n v="17.59"/>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78BC18-AF51-4C37-8DE1-F6055F2F777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4" firstHeaderRow="1" firstDataRow="1" firstDataCol="1"/>
  <pivotFields count="13">
    <pivotField showAll="0"/>
    <pivotField showAll="0"/>
    <pivotField showAll="0"/>
    <pivotField showAll="0"/>
    <pivotField showAll="0"/>
    <pivotField showAll="0"/>
    <pivotField showAll="0"/>
    <pivotField numFmtId="167" showAll="0"/>
    <pivotField numFmtId="2" showAll="0"/>
    <pivotField numFmtId="167" showAll="0"/>
    <pivotField numFmtId="167" showAll="0"/>
    <pivotField dataField="1" showAll="0"/>
    <pivotField axis="axisRow" showAll="0">
      <items count="3">
        <item x="0"/>
        <item x="1"/>
        <item t="default"/>
      </items>
    </pivotField>
  </pivotFields>
  <rowFields count="1">
    <field x="12"/>
  </rowFields>
  <rowItems count="3">
    <i>
      <x/>
    </i>
    <i>
      <x v="1"/>
    </i>
    <i t="grand">
      <x/>
    </i>
  </rowItems>
  <colItems count="1">
    <i/>
  </colItems>
  <dataFields count="1">
    <dataField name="Sum of Reward_Points"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72B302-6A58-4405-A0F2-90F43C03C9B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1:H17" firstHeaderRow="1" firstDataRow="1" firstDataCol="1"/>
  <pivotFields count="12">
    <pivotField showAll="0"/>
    <pivotField showAll="0"/>
    <pivotField showAll="0"/>
    <pivotField showAll="0"/>
    <pivotField showAll="0"/>
    <pivotField showAll="0"/>
    <pivotField axis="axisRow" showAll="0">
      <items count="6">
        <item x="4"/>
        <item x="2"/>
        <item x="3"/>
        <item x="0"/>
        <item x="1"/>
        <item t="default"/>
      </items>
    </pivotField>
    <pivotField numFmtId="44" showAll="0"/>
    <pivotField dataField="1" numFmtId="2" showAll="0"/>
    <pivotField numFmtId="44" showAll="0"/>
    <pivotField numFmtId="44" showAll="0"/>
    <pivotField showAll="0"/>
  </pivotFields>
  <rowFields count="1">
    <field x="6"/>
  </rowFields>
  <rowItems count="6">
    <i>
      <x/>
    </i>
    <i>
      <x v="1"/>
    </i>
    <i>
      <x v="2"/>
    </i>
    <i>
      <x v="3"/>
    </i>
    <i>
      <x v="4"/>
    </i>
    <i t="grand">
      <x/>
    </i>
  </rowItems>
  <colItems count="1">
    <i/>
  </colItems>
  <dataFields count="1">
    <dataField name="Sum of Quantity" fld="8" baseField="0" baseItem="0" numFmtId="2"/>
  </dataFields>
  <formats count="2">
    <format dxfId="1">
      <pivotArea collapsedLevelsAreSubtotals="1" fieldPosition="0">
        <references count="1">
          <reference field="6" count="0"/>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EEF6F-1B2D-4B0C-8580-E84677CB2A68}"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0:H27" firstHeaderRow="1" firstDataRow="2" firstDataCol="1"/>
  <pivotFields count="12">
    <pivotField showAll="0"/>
    <pivotField showAll="0"/>
    <pivotField showAll="0"/>
    <pivotField showAll="0"/>
    <pivotField axis="axisCol" showAll="0">
      <items count="3">
        <item x="1"/>
        <item x="0"/>
        <item t="default"/>
      </items>
    </pivotField>
    <pivotField showAll="0"/>
    <pivotField axis="axisRow" showAll="0">
      <items count="6">
        <item x="4"/>
        <item x="2"/>
        <item x="3"/>
        <item x="0"/>
        <item x="1"/>
        <item t="default"/>
      </items>
    </pivotField>
    <pivotField numFmtId="44" showAll="0"/>
    <pivotField dataField="1" numFmtId="2" showAll="0"/>
    <pivotField numFmtId="44" showAll="0"/>
    <pivotField numFmtId="44" showAll="0"/>
    <pivotField showAll="0"/>
  </pivotFields>
  <rowFields count="1">
    <field x="6"/>
  </rowFields>
  <rowItems count="6">
    <i>
      <x/>
    </i>
    <i>
      <x v="1"/>
    </i>
    <i>
      <x v="2"/>
    </i>
    <i>
      <x v="3"/>
    </i>
    <i>
      <x v="4"/>
    </i>
    <i t="grand">
      <x/>
    </i>
  </rowItems>
  <colFields count="1">
    <field x="4"/>
  </colFields>
  <colItems count="3">
    <i>
      <x/>
    </i>
    <i>
      <x v="1"/>
    </i>
    <i t="grand">
      <x/>
    </i>
  </colItems>
  <dataFields count="1">
    <dataField name="Sum of Quantity" fld="8" baseField="0" baseItem="0" numFmtId="2"/>
  </dataFields>
  <formats count="3">
    <format dxfId="4">
      <pivotArea collapsedLevelsAreSubtotals="1" fieldPosition="0">
        <references count="1">
          <reference field="6" count="0"/>
        </references>
      </pivotArea>
    </format>
    <format dxfId="3">
      <pivotArea field="4" grandRow="1" outline="0" collapsedLevelsAreSubtotals="1" axis="axisCol" fieldPosition="0">
        <references count="1">
          <reference field="4" count="1" selected="0">
            <x v="1"/>
          </reference>
        </references>
      </pivotArea>
    </format>
    <format dxfId="2">
      <pivotArea field="4" grandRow="1" outline="0" collapsedLevelsAreSubtotals="1" axis="axisCol" fieldPosition="0">
        <references count="1">
          <reference field="4" count="1" selected="0">
            <x v="0"/>
          </reference>
        </references>
      </pivotArea>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2">
          <reference field="4294967294" count="1" selected="0">
            <x v="0"/>
          </reference>
          <reference field="4" count="1" selected="0">
            <x v="0"/>
          </reference>
        </references>
      </pivotArea>
    </chartFormat>
    <chartFormat chart="6"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499A28-2014-40B8-BFEB-D3BEBF922A7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showAll="0"/>
    <pivotField numFmtId="44" showAll="0"/>
    <pivotField numFmtId="2" showAll="0"/>
    <pivotField numFmtId="44" showAll="0"/>
    <pivotField dataField="1" numFmtId="44" showAll="0"/>
    <pivotField showAll="0"/>
  </pivotFields>
  <rowItems count="1">
    <i/>
  </rowItems>
  <colItems count="1">
    <i/>
  </colItems>
  <dataFields count="1">
    <dataField name="Sum of Total_Price" fld="10"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6940F-B3D3-40C1-9F62-FA732F3C125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B33" firstHeaderRow="1" firstDataRow="1" firstDataCol="1"/>
  <pivotFields count="12">
    <pivotField showAll="0"/>
    <pivotField axis="axisRow" showAll="0">
      <items count="4">
        <item x="2"/>
        <item x="1"/>
        <item x="0"/>
        <item t="default"/>
      </items>
    </pivotField>
    <pivotField showAll="0"/>
    <pivotField showAll="0"/>
    <pivotField showAll="0"/>
    <pivotField showAll="0"/>
    <pivotField showAll="0"/>
    <pivotField numFmtId="44" showAll="0"/>
    <pivotField numFmtId="2" showAll="0"/>
    <pivotField numFmtId="44" showAll="0"/>
    <pivotField dataField="1" numFmtId="44" showAll="0"/>
    <pivotField showAll="0"/>
  </pivotFields>
  <rowFields count="1">
    <field x="1"/>
  </rowFields>
  <rowItems count="4">
    <i>
      <x/>
    </i>
    <i>
      <x v="1"/>
    </i>
    <i>
      <x v="2"/>
    </i>
    <i t="grand">
      <x/>
    </i>
  </rowItems>
  <colItems count="1">
    <i/>
  </colItems>
  <dataFields count="1">
    <dataField name="Sum of Total_Price" fld="10" baseField="0" baseItem="0" numFmtId="164"/>
  </dataFields>
  <formats count="1">
    <format dxfId="6">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6B12C6-EF19-48E5-9A0C-006A4796D4AF}"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pivotField showAll="0"/>
    <pivotField showAll="0"/>
    <pivotField showAll="0"/>
    <pivotField showAll="0"/>
    <pivotField showAll="0"/>
    <pivotField showAll="0"/>
    <pivotField numFmtId="44" showAll="0"/>
    <pivotField numFmtId="2" showAll="0"/>
    <pivotField numFmtId="44" showAll="0"/>
    <pivotField dataField="1" numFmtId="44" showAll="0"/>
    <pivotField showAll="0"/>
  </pivotFields>
  <rowItems count="1">
    <i/>
  </rowItems>
  <colItems count="1">
    <i/>
  </colItems>
  <dataFields count="1">
    <dataField name="Average of Total_Price" fld="10" subtotal="average"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624389-F1F5-4952-B428-8D0B19B97492}"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1:B17" firstHeaderRow="1" firstDataRow="1" firstDataCol="1"/>
  <pivotFields count="12">
    <pivotField showAll="0"/>
    <pivotField showAll="0"/>
    <pivotField showAll="0"/>
    <pivotField showAll="0"/>
    <pivotField showAll="0">
      <items count="3">
        <item h="1" x="1"/>
        <item x="0"/>
        <item t="default"/>
      </items>
    </pivotField>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sortType="descending">
      <items count="6">
        <item h="1" x="4"/>
        <item x="2"/>
        <item h="1" x="3"/>
        <item h="1" x="0"/>
        <item h="1" x="1"/>
        <item t="default"/>
      </items>
      <autoSortScope>
        <pivotArea dataOnly="0" outline="0" fieldPosition="0">
          <references count="1">
            <reference field="4294967294" count="1" selected="0">
              <x v="0"/>
            </reference>
          </references>
        </pivotArea>
      </autoSortScope>
    </pivotField>
    <pivotField numFmtId="44" showAll="0"/>
    <pivotField numFmtId="2" showAll="0"/>
    <pivotField numFmtId="44" showAll="0"/>
    <pivotField dataField="1" numFmtId="44" showAll="0"/>
    <pivotField showAll="0"/>
  </pivotFields>
  <rowFields count="1">
    <field x="5"/>
  </rowFields>
  <rowItems count="6">
    <i>
      <x v="4"/>
    </i>
    <i>
      <x v="2"/>
    </i>
    <i>
      <x v="3"/>
    </i>
    <i>
      <x v="1"/>
    </i>
    <i>
      <x/>
    </i>
    <i t="grand">
      <x/>
    </i>
  </rowItems>
  <colItems count="1">
    <i/>
  </colItems>
  <dataFields count="1">
    <dataField name="Sum of Total_Price" fld="10" showDataAs="percentOfTotal" baseField="0" baseItem="0" numFmtId="10"/>
  </dataFields>
  <formats count="5">
    <format dxfId="12">
      <pivotArea collapsedLevelsAreSubtotals="1" fieldPosition="0">
        <references count="1">
          <reference field="5" count="1">
            <x v="4"/>
          </reference>
        </references>
      </pivotArea>
    </format>
    <format dxfId="11">
      <pivotArea collapsedLevelsAreSubtotals="1" fieldPosition="0">
        <references count="1">
          <reference field="5" count="1">
            <x v="2"/>
          </reference>
        </references>
      </pivotArea>
    </format>
    <format dxfId="10">
      <pivotArea collapsedLevelsAreSubtotals="1" fieldPosition="0">
        <references count="1">
          <reference field="5" count="1">
            <x v="3"/>
          </reference>
        </references>
      </pivotArea>
    </format>
    <format dxfId="9">
      <pivotArea collapsedLevelsAreSubtotals="1" fieldPosition="0">
        <references count="1">
          <reference field="5" count="1">
            <x v="1"/>
          </reference>
        </references>
      </pivotArea>
    </format>
    <format dxfId="8">
      <pivotArea collapsedLevelsAreSubtotals="1" fieldPosition="0">
        <references count="1">
          <reference field="5" count="1">
            <x v="0"/>
          </reference>
        </references>
      </pivotArea>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2B7717-0C98-4A5C-9AC5-EC514193290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6:C39" firstHeaderRow="0" firstDataRow="1" firstDataCol="1"/>
  <pivotFields count="13">
    <pivotField dataField="1" showAll="0"/>
    <pivotField showAll="0"/>
    <pivotField showAll="0"/>
    <pivotField showAll="0"/>
    <pivotField showAll="0"/>
    <pivotField showAll="0"/>
    <pivotField showAll="0"/>
    <pivotField numFmtId="167" showAll="0"/>
    <pivotField numFmtId="2" showAll="0"/>
    <pivotField numFmtId="167" showAll="0"/>
    <pivotField dataField="1" numFmtId="167" showAll="0"/>
    <pivotField showAll="0"/>
    <pivotField axis="axisRow" showAll="0">
      <items count="3">
        <item x="0"/>
        <item x="1"/>
        <item t="default"/>
      </items>
    </pivotField>
  </pivotFields>
  <rowFields count="1">
    <field x="12"/>
  </rowFields>
  <rowItems count="3">
    <i>
      <x/>
    </i>
    <i>
      <x v="1"/>
    </i>
    <i t="grand">
      <x/>
    </i>
  </rowItems>
  <colFields count="1">
    <field x="-2"/>
  </colFields>
  <colItems count="2">
    <i>
      <x/>
    </i>
    <i i="1">
      <x v="1"/>
    </i>
  </colItems>
  <dataFields count="2">
    <dataField name="Sum of Total_Price" fld="10" showDataAs="percentOfTotal" baseField="0" baseItem="0" numFmtId="10"/>
    <dataField name="Count of Sale_Id" fld="0" subtotal="count" showDataAs="percentOfTotal" baseField="12" baseItem="0" numFmtId="10"/>
  </dataFields>
  <chartFormats count="10">
    <chartFormat chart="0" format="0"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pivotArea type="data" outline="0" fieldPosition="0">
        <references count="2">
          <reference field="4294967294" count="1" selected="0">
            <x v="1"/>
          </reference>
          <reference field="12" count="1" selected="0">
            <x v="0"/>
          </reference>
        </references>
      </pivotArea>
    </chartFormat>
    <chartFormat chart="4" format="6">
      <pivotArea type="data" outline="0" fieldPosition="0">
        <references count="2">
          <reference field="4294967294" count="1" selected="0">
            <x v="1"/>
          </reference>
          <reference field="12" count="1" selected="0">
            <x v="1"/>
          </reference>
        </references>
      </pivotArea>
    </chartFormat>
    <chartFormat chart="0" format="1">
      <pivotArea type="data" outline="0" fieldPosition="0">
        <references count="2">
          <reference field="4294967294" count="1" selected="0">
            <x v="1"/>
          </reference>
          <reference field="12" count="1" selected="0">
            <x v="0"/>
          </reference>
        </references>
      </pivotArea>
    </chartFormat>
    <chartFormat chart="0" format="2">
      <pivotArea type="data" outline="0" fieldPosition="0">
        <references count="2">
          <reference field="4294967294" count="1" selected="0">
            <x v="1"/>
          </reference>
          <reference field="12" count="1" selected="0">
            <x v="1"/>
          </reference>
        </references>
      </pivotArea>
    </chartFormat>
    <chartFormat chart="4"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2FE43D-F19C-4130-9634-F436682543D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showAll="0"/>
    <pivotField showAll="0"/>
    <pivotField showAll="0"/>
    <pivotField showAll="0"/>
    <pivotField showAll="0"/>
    <pivotField showAll="0"/>
    <pivotField showAll="0"/>
    <pivotField numFmtId="44" showAll="0"/>
    <pivotField dataField="1" numFmtId="2" showAll="0"/>
    <pivotField numFmtId="44" showAll="0"/>
    <pivotField numFmtId="44" showAll="0"/>
    <pivotField showAll="0"/>
  </pivotFields>
  <rowItems count="1">
    <i/>
  </rowItems>
  <colItems count="1">
    <i/>
  </colItems>
  <dataFields count="1">
    <dataField name="Sum of Quantity" fld="8"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8FA1E3-7A5D-4988-9188-4F11CF4B0E0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dataField="1" showAll="0"/>
    <pivotField showAll="0"/>
    <pivotField showAll="0"/>
    <pivotField showAll="0"/>
    <pivotField showAll="0"/>
    <pivotField showAll="0"/>
    <pivotField showAll="0"/>
    <pivotField numFmtId="44" showAll="0"/>
    <pivotField numFmtId="2" showAll="0"/>
    <pivotField numFmtId="44" showAll="0"/>
    <pivotField numFmtId="44" showAll="0"/>
    <pivotField showAll="0"/>
  </pivotFields>
  <rowItems count="1">
    <i/>
  </rowItems>
  <colItems count="1">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9DCE14-70C1-4B37-9854-2EB4B75FAD48}"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3" firstHeaderRow="0" firstDataRow="1" firstDataCol="1"/>
  <pivotFields count="12">
    <pivotField dataField="1"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1"/>
            </reference>
          </references>
        </pivotArea>
      </autoSortScope>
    </pivotField>
    <pivotField showAll="0"/>
    <pivotField showAll="0"/>
    <pivotField numFmtId="44" showAll="0"/>
    <pivotField numFmtId="2" showAll="0"/>
    <pivotField numFmtId="44" showAll="0"/>
    <pivotField dataField="1" numFmtId="44" showAll="0"/>
    <pivotField showAll="0"/>
  </pivotFields>
  <rowFields count="1">
    <field x="4"/>
  </rowFields>
  <rowItems count="3">
    <i>
      <x v="1"/>
    </i>
    <i>
      <x/>
    </i>
    <i t="grand">
      <x/>
    </i>
  </rowItems>
  <colFields count="1">
    <field x="-2"/>
  </colFields>
  <colItems count="2">
    <i>
      <x/>
    </i>
    <i i="1">
      <x v="1"/>
    </i>
  </colItems>
  <dataFields count="2">
    <dataField name="Sum of Total_Price" fld="10" baseField="0" baseItem="0" numFmtId="164"/>
    <dataField name="Sum of Sale_Id" fld="0" showDataAs="percentOfTotal" baseField="0" baseItem="0" numFmtId="10"/>
  </dataFields>
  <formats count="1">
    <format dxfId="1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4C9F4C-2571-4723-AD7E-BC6EDD03FFB5}"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1:E14" firstHeaderRow="1" firstDataRow="1" firstDataCol="1"/>
  <pivotFields count="12">
    <pivotField showAll="0"/>
    <pivotField showAll="0"/>
    <pivotField showAll="0"/>
    <pivotField axis="axisRow" showAll="0">
      <items count="3">
        <item x="0"/>
        <item x="1"/>
        <item t="default"/>
      </items>
    </pivotField>
    <pivotField showAll="0"/>
    <pivotField showAll="0"/>
    <pivotField showAll="0"/>
    <pivotField numFmtId="44" showAll="0"/>
    <pivotField numFmtId="2" showAll="0"/>
    <pivotField numFmtId="44" showAll="0"/>
    <pivotField dataField="1" numFmtId="44" showAll="0"/>
    <pivotField showAll="0"/>
  </pivotFields>
  <rowFields count="1">
    <field x="3"/>
  </rowFields>
  <rowItems count="3">
    <i>
      <x/>
    </i>
    <i>
      <x v="1"/>
    </i>
    <i t="grand">
      <x/>
    </i>
  </rowItems>
  <colItems count="1">
    <i/>
  </colItems>
  <dataFields count="1">
    <dataField name="Sum of Total_Price" fld="10" baseField="0" baseItem="0" numFmtId="164"/>
  </dataFields>
  <formats count="1">
    <format dxfId="15">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3" count="1" selected="0">
            <x v="0"/>
          </reference>
        </references>
      </pivotArea>
    </chartFormat>
    <chartFormat chart="19" format="6">
      <pivotArea type="data" outline="0" fieldPosition="0">
        <references count="2">
          <reference field="4294967294" count="1" selected="0">
            <x v="0"/>
          </reference>
          <reference field="3" count="1" selected="0">
            <x v="1"/>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C5C66D-8893-4ED1-92FD-F515AC3218C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2">
    <pivotField showAll="0"/>
    <pivotField showAll="0"/>
    <pivotField showAll="0"/>
    <pivotField showAll="0"/>
    <pivotField showAll="0"/>
    <pivotField showAll="0"/>
    <pivotField showAll="0"/>
    <pivotField numFmtId="44" showAll="0"/>
    <pivotField dataField="1" numFmtId="2" showAll="0"/>
    <pivotField numFmtId="44" showAll="0"/>
    <pivotField numFmtId="44" showAll="0"/>
    <pivotField showAll="0"/>
  </pivotFields>
  <rowItems count="1">
    <i/>
  </rowItems>
  <colItems count="1">
    <i/>
  </colItems>
  <dataFields count="1">
    <dataField name="Average of Quantity" fld="8" subtotal="average" baseField="0" baseItem="0" numFmtId="167"/>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C0EC6EE-B919-4DED-B4D5-5B58EADF5230}" sourceName="Product_Name">
  <pivotTables>
    <pivotTable tabId="5" name="PivotTable26"/>
  </pivotTables>
  <data>
    <tabular pivotCacheId="1571290574">
      <items count="5">
        <i x="2" s="1"/>
        <i x="3"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3795F2-BBC6-4FA3-B243-AB6871609C9A}" sourceName="Gender">
  <pivotTables>
    <pivotTable tabId="5" name="PivotTable30"/>
  </pivotTables>
  <data>
    <tabular pivotCacheId="15712905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875BAF1-EC6E-432A-90BE-4C56306E7FCB}" sourceName="Customer_Type">
  <pivotTables>
    <pivotTable tabId="5" name="PivotTable27"/>
  </pivotTables>
  <data>
    <tabular pivotCacheId="157129057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8C2CE932-8BF1-4EC6-B6F7-E4E31094B6AC}" sourceName="Branch">
  <pivotTables>
    <pivotTable tabId="5" name="PivotTable31"/>
  </pivotTables>
  <data>
    <tabular pivotCacheId="157129057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8D95E59B-15BF-4087-B17A-75822C8197CB}" cache="Slicer_Product_Name" caption="Revenue " style="Slicer Style 2" rowHeight="374904"/>
  <slicer name="Gender" xr10:uid="{986989BC-B732-408D-A132-AEDB0C559B74}" cache="Slicer_Gender" caption="Gender " style="Slicer Style 2" rowHeight="374904"/>
  <slicer name="Customer_Type" xr10:uid="{2CB6464E-42A3-4325-B20B-E8B5A1E011F2}" cache="Slicer_Customer_Type" caption="Customer " style="Slicer Style 2" rowHeight="374904"/>
  <slicer name="Branch 1" xr10:uid="{DBAFAD5E-1D00-450C-92CF-9A4981E23F7A}" cache="Slicer_Branch" caption="Branch " style="Slicer Style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E2032C-DCD1-4635-8AB8-D99423B1D87E}" name="Table3" displayName="Table3" ref="A1:M1001" totalsRowShown="0" headerRowBorderDxfId="51" tableBorderDxfId="50" totalsRowBorderDxfId="49">
  <autoFilter ref="A1:M1001" xr:uid="{3A1E6784-4804-46B3-BC84-A6D23F1AB088}"/>
  <tableColumns count="13">
    <tableColumn id="1" xr3:uid="{42705551-BEEC-4E03-AAA7-DB6499D786A9}" name="Sale_Id" dataDxfId="48"/>
    <tableColumn id="2" xr3:uid="{333FEBDD-3AE3-48A1-989B-8F4035FA3AFC}" name="Branch" dataDxfId="47"/>
    <tableColumn id="3" xr3:uid="{DD7ACF04-BB0D-48ED-9F02-B83C674E97CA}" name="City" dataDxfId="46"/>
    <tableColumn id="4" xr3:uid="{9C0DED42-A018-4A09-866D-00489CC1033C}" name="Customer_Type" dataDxfId="45"/>
    <tableColumn id="5" xr3:uid="{6FC4CCE2-C6D9-41F8-A0EC-A27B54FE62D7}" name="Gender" dataDxfId="44"/>
    <tableColumn id="6" xr3:uid="{6ACE3AAE-E058-49FF-B872-C4C9FE7E3328}" name="Product_Name" dataDxfId="43"/>
    <tableColumn id="7" xr3:uid="{7A49049B-C159-49D4-A655-3FAD341D8059}" name="Product_Category" dataDxfId="42">
      <calculatedColumnFormula>_xlfn.XLOOKUP(F2,$Q$2:$Q$6,$R$2:$R$6,"Unknown")</calculatedColumnFormula>
    </tableColumn>
    <tableColumn id="8" xr3:uid="{1BFB414F-249D-4A8E-9E18-2A0532A9179B}" name="Unit_Price" dataDxfId="41"/>
    <tableColumn id="9" xr3:uid="{6EFF261A-0E97-4F2A-8085-279217A4D5C3}" name="Quantity" dataDxfId="40"/>
    <tableColumn id="10" xr3:uid="{05F383AD-C89D-4697-BEF0-B6531173D80C}" name="Tax" dataDxfId="39"/>
    <tableColumn id="11" xr3:uid="{83B0528B-2A1B-4A0D-9DEB-848A03591E00}" name="Total_Price" dataDxfId="38"/>
    <tableColumn id="12" xr3:uid="{A71BAE67-40A9-44D3-90AA-E90643880CAF}" name="Reward_Points" dataDxfId="37"/>
    <tableColumn id="13" xr3:uid="{9E654487-06A9-427A-89DA-EAF7FEEBC9B8}" name="Is_Outliers" dataDxfId="36">
      <calculatedColumnFormula>IF(K2 &gt; 382.93, "Outlier (Extreme Spend)", "Normal Transaction")</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467BB0-54CA-475C-A71C-B623811BE902}" name="Table4" displayName="Table4" ref="Q1:R6" totalsRowShown="0" headerRowDxfId="35" headerRowBorderDxfId="34" tableBorderDxfId="33" totalsRowBorderDxfId="32">
  <autoFilter ref="Q1:R6" xr:uid="{A7467BB0-54CA-475C-A71C-B623811BE902}"/>
  <tableColumns count="2">
    <tableColumn id="1" xr3:uid="{29631929-3E6D-4321-8D2D-2C737EF8A77A}" name="Lookup Product" dataDxfId="31"/>
    <tableColumn id="2" xr3:uid="{FACCE76D-383B-4FE5-8403-BCF186573954}" name="Lookup Category" dataDxfId="30"/>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B82871-68CD-4AEF-9AD3-72F8C79838EC}" name="Table5" displayName="Table5" ref="Q9:S11" totalsRowShown="0" headerRowDxfId="29" headerRowBorderDxfId="28" tableBorderDxfId="27" totalsRowBorderDxfId="26">
  <autoFilter ref="Q9:S11" xr:uid="{43B82871-68CD-4AEF-9AD3-72F8C79838EC}"/>
  <tableColumns count="3">
    <tableColumn id="1" xr3:uid="{09CB32A5-E5C4-4B37-B234-E4E2FD3C3640}" name="Corrrelation " dataDxfId="25"/>
    <tableColumn id="2" xr3:uid="{B6862D44-01E9-47D7-A143-B0DA522477FE}" name="Result" dataDxfId="24">
      <calculatedColumnFormula>CORREL(K1:K1000,L1:L1000)</calculatedColumnFormula>
    </tableColumn>
    <tableColumn id="3" xr3:uid="{84857A71-680E-47AD-8B36-DBE95F8FDCF6}" name="Interpretation" dataDxf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4E72EC-320B-41CE-B0DA-7A1CADA3FFF5}" name="Table7" displayName="Table7" ref="Q14:R19" totalsRowShown="0" headerRowDxfId="22" headerRowBorderDxfId="21" tableBorderDxfId="20" totalsRowBorderDxfId="19">
  <autoFilter ref="Q14:R19" xr:uid="{F84E72EC-320B-41CE-B0DA-7A1CADA3FFF5}"/>
  <tableColumns count="2">
    <tableColumn id="1" xr3:uid="{030F8E7F-30AC-4F19-B9A6-A68DB5FA24CB}" name="Identifying Outliers" dataDxfId="18"/>
    <tableColumn id="2" xr3:uid="{F0223474-4768-415F-B27B-B01CF1BE6A01}" name="Result" dataDxf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6784-4804-46B3-BC84-A6D23F1AB088}">
  <dimension ref="A1:S1001"/>
  <sheetViews>
    <sheetView topLeftCell="C1" workbookViewId="0">
      <selection activeCell="M2" sqref="M2"/>
    </sheetView>
  </sheetViews>
  <sheetFormatPr defaultRowHeight="14.5" x14ac:dyDescent="0.35"/>
  <cols>
    <col min="1" max="1" width="9.6328125" bestFit="1" customWidth="1"/>
    <col min="2" max="2" width="9.453125" style="4" bestFit="1" customWidth="1"/>
    <col min="3" max="3" width="13.6328125" style="4" customWidth="1"/>
    <col min="4" max="4" width="17.54296875" style="4" bestFit="1" customWidth="1"/>
    <col min="5" max="5" width="9.81640625" style="4" bestFit="1" customWidth="1"/>
    <col min="6" max="6" width="16.90625" style="4" bestFit="1" customWidth="1"/>
    <col min="7" max="7" width="19.6328125" style="4" bestFit="1" customWidth="1"/>
    <col min="8" max="8" width="13.90625" style="5" bestFit="1" customWidth="1"/>
    <col min="9" max="9" width="11" style="8" bestFit="1" customWidth="1"/>
    <col min="10" max="10" width="7.6328125" style="5" bestFit="1" customWidth="1"/>
    <col min="11" max="11" width="14.6328125" style="5" bestFit="1" customWidth="1"/>
    <col min="12" max="12" width="17.08984375" bestFit="1" customWidth="1"/>
    <col min="13" max="13" width="21.08984375" bestFit="1" customWidth="1"/>
    <col min="14" max="14" width="16.7265625" bestFit="1" customWidth="1"/>
    <col min="15" max="15" width="15" bestFit="1" customWidth="1"/>
    <col min="16" max="16" width="13.7265625" customWidth="1"/>
    <col min="17" max="17" width="30.26953125" bestFit="1" customWidth="1"/>
    <col min="18" max="18" width="16.90625" customWidth="1"/>
    <col min="19" max="19" width="34.54296875" bestFit="1" customWidth="1"/>
  </cols>
  <sheetData>
    <row r="1" spans="1:19" s="1" customFormat="1" ht="15.5" x14ac:dyDescent="0.35">
      <c r="A1" s="40" t="s">
        <v>24</v>
      </c>
      <c r="B1" s="41" t="s">
        <v>19</v>
      </c>
      <c r="C1" s="41" t="s">
        <v>20</v>
      </c>
      <c r="D1" s="41" t="s">
        <v>23</v>
      </c>
      <c r="E1" s="41" t="s">
        <v>21</v>
      </c>
      <c r="F1" s="42" t="s">
        <v>22</v>
      </c>
      <c r="G1" s="42" t="s">
        <v>25</v>
      </c>
      <c r="H1" s="43" t="s">
        <v>26</v>
      </c>
      <c r="I1" s="44" t="s">
        <v>27</v>
      </c>
      <c r="J1" s="43" t="s">
        <v>28</v>
      </c>
      <c r="K1" s="45" t="s">
        <v>29</v>
      </c>
      <c r="L1" s="42" t="s">
        <v>30</v>
      </c>
      <c r="M1" s="46" t="s">
        <v>65</v>
      </c>
      <c r="N1" s="29"/>
      <c r="O1" s="28"/>
      <c r="Q1" s="47" t="s">
        <v>32</v>
      </c>
      <c r="R1" s="48" t="s">
        <v>33</v>
      </c>
    </row>
    <row r="2" spans="1:19" x14ac:dyDescent="0.35">
      <c r="A2" s="27">
        <v>1</v>
      </c>
      <c r="B2" s="2" t="s">
        <v>31</v>
      </c>
      <c r="C2" s="2" t="s">
        <v>1</v>
      </c>
      <c r="D2" s="2" t="s">
        <v>2</v>
      </c>
      <c r="E2" s="2" t="s">
        <v>3</v>
      </c>
      <c r="F2" s="9" t="s">
        <v>4</v>
      </c>
      <c r="G2" s="9" t="str">
        <f>_xlfn.XLOOKUP(F2,$Q$2:$Q$6,$R$2:$R$6,"Unknown")</f>
        <v>Personal Care</v>
      </c>
      <c r="H2" s="25">
        <v>5.5</v>
      </c>
      <c r="I2" s="6">
        <v>3</v>
      </c>
      <c r="J2" s="25">
        <v>1.1599999999999999</v>
      </c>
      <c r="K2" s="25">
        <v>17.66</v>
      </c>
      <c r="L2" s="9">
        <v>1</v>
      </c>
      <c r="M2" s="39" t="str">
        <f t="shared" ref="M2:M65" si="0">IF(K2 &gt; 382.93, "Outlier (Extreme Spend)", "Normal Transaction")</f>
        <v>Normal Transaction</v>
      </c>
      <c r="N2" s="27"/>
      <c r="O2" s="9"/>
      <c r="P2" s="4"/>
      <c r="Q2" s="27" t="s">
        <v>4</v>
      </c>
      <c r="R2" s="39" t="s">
        <v>5</v>
      </c>
    </row>
    <row r="3" spans="1:19" x14ac:dyDescent="0.35">
      <c r="A3" s="27">
        <v>2</v>
      </c>
      <c r="B3" s="2" t="s">
        <v>6</v>
      </c>
      <c r="C3" s="2" t="s">
        <v>7</v>
      </c>
      <c r="D3" s="2" t="s">
        <v>8</v>
      </c>
      <c r="E3" s="2" t="s">
        <v>9</v>
      </c>
      <c r="F3" s="9" t="s">
        <v>10</v>
      </c>
      <c r="G3" s="9" t="str">
        <f t="shared" ref="G3:G66" si="1">_xlfn.XLOOKUP(F3,$Q$2:$Q$6,$R$2:$R$6,"Unknown")</f>
        <v>Stationery</v>
      </c>
      <c r="H3" s="25">
        <v>2.75</v>
      </c>
      <c r="I3" s="6">
        <v>10</v>
      </c>
      <c r="J3" s="25">
        <v>1.93</v>
      </c>
      <c r="K3" s="25">
        <v>29.43</v>
      </c>
      <c r="L3" s="9">
        <v>0</v>
      </c>
      <c r="M3" s="39" t="str">
        <f t="shared" si="0"/>
        <v>Normal Transaction</v>
      </c>
      <c r="N3" s="27"/>
      <c r="O3" s="9"/>
      <c r="Q3" s="27" t="s">
        <v>10</v>
      </c>
      <c r="R3" s="39" t="s">
        <v>11</v>
      </c>
    </row>
    <row r="4" spans="1:19" x14ac:dyDescent="0.35">
      <c r="A4" s="27">
        <v>3</v>
      </c>
      <c r="B4" s="2" t="s">
        <v>31</v>
      </c>
      <c r="C4" s="2" t="s">
        <v>1</v>
      </c>
      <c r="D4" s="2" t="s">
        <v>2</v>
      </c>
      <c r="E4" s="2" t="s">
        <v>9</v>
      </c>
      <c r="F4" s="9" t="s">
        <v>12</v>
      </c>
      <c r="G4" s="9" t="str">
        <f t="shared" si="1"/>
        <v>Fruits</v>
      </c>
      <c r="H4" s="25">
        <v>1.2</v>
      </c>
      <c r="I4" s="6">
        <v>15</v>
      </c>
      <c r="J4" s="25">
        <v>1.26</v>
      </c>
      <c r="K4" s="25">
        <v>19.260000000000002</v>
      </c>
      <c r="L4" s="9">
        <v>1</v>
      </c>
      <c r="M4" s="39" t="str">
        <f t="shared" si="0"/>
        <v>Normal Transaction</v>
      </c>
      <c r="N4" s="27"/>
      <c r="O4" s="9"/>
      <c r="Q4" s="27" t="s">
        <v>12</v>
      </c>
      <c r="R4" s="39" t="s">
        <v>13</v>
      </c>
    </row>
    <row r="5" spans="1:19" x14ac:dyDescent="0.35">
      <c r="A5" s="27">
        <v>4</v>
      </c>
      <c r="B5" s="2" t="s">
        <v>0</v>
      </c>
      <c r="C5" s="2" t="s">
        <v>14</v>
      </c>
      <c r="D5" s="2" t="s">
        <v>8</v>
      </c>
      <c r="E5" s="2" t="s">
        <v>3</v>
      </c>
      <c r="F5" s="9" t="s">
        <v>15</v>
      </c>
      <c r="G5" s="9" t="str">
        <f t="shared" si="1"/>
        <v>Household</v>
      </c>
      <c r="H5" s="25">
        <v>7.8</v>
      </c>
      <c r="I5" s="6">
        <v>5</v>
      </c>
      <c r="J5" s="25">
        <v>2.73</v>
      </c>
      <c r="K5" s="25">
        <v>41.73</v>
      </c>
      <c r="L5" s="9">
        <v>0</v>
      </c>
      <c r="M5" s="39" t="str">
        <f t="shared" si="0"/>
        <v>Normal Transaction</v>
      </c>
      <c r="N5" s="27"/>
      <c r="O5" s="9"/>
      <c r="Q5" s="27" t="s">
        <v>15</v>
      </c>
      <c r="R5" s="39" t="s">
        <v>16</v>
      </c>
    </row>
    <row r="6" spans="1:19" x14ac:dyDescent="0.35">
      <c r="A6" s="27">
        <v>5</v>
      </c>
      <c r="B6" s="2" t="s">
        <v>6</v>
      </c>
      <c r="C6" s="2" t="s">
        <v>7</v>
      </c>
      <c r="D6" s="2" t="s">
        <v>2</v>
      </c>
      <c r="E6" s="2" t="s">
        <v>9</v>
      </c>
      <c r="F6" s="9" t="s">
        <v>17</v>
      </c>
      <c r="G6" s="9" t="str">
        <f t="shared" si="1"/>
        <v>Beverages</v>
      </c>
      <c r="H6" s="25">
        <v>3.5</v>
      </c>
      <c r="I6" s="6">
        <v>7</v>
      </c>
      <c r="J6" s="25">
        <v>1.72</v>
      </c>
      <c r="K6" s="25">
        <v>26.22</v>
      </c>
      <c r="L6" s="9">
        <v>2</v>
      </c>
      <c r="M6" s="39" t="str">
        <f t="shared" si="0"/>
        <v>Normal Transaction</v>
      </c>
      <c r="N6" s="27"/>
      <c r="O6" s="9"/>
      <c r="Q6" s="38" t="s">
        <v>17</v>
      </c>
      <c r="R6" s="49" t="s">
        <v>18</v>
      </c>
    </row>
    <row r="7" spans="1:19" x14ac:dyDescent="0.35">
      <c r="A7" s="27">
        <v>6</v>
      </c>
      <c r="B7" s="2" t="s">
        <v>0</v>
      </c>
      <c r="C7" s="2" t="s">
        <v>14</v>
      </c>
      <c r="D7" s="2" t="s">
        <v>8</v>
      </c>
      <c r="E7" s="2" t="s">
        <v>3</v>
      </c>
      <c r="F7" s="9" t="s">
        <v>4</v>
      </c>
      <c r="G7" s="9" t="str">
        <f t="shared" si="1"/>
        <v>Personal Care</v>
      </c>
      <c r="H7" s="25">
        <v>11.24</v>
      </c>
      <c r="I7" s="6">
        <v>9</v>
      </c>
      <c r="J7" s="25">
        <v>7.08</v>
      </c>
      <c r="K7" s="25">
        <v>108.24</v>
      </c>
      <c r="L7" s="9">
        <v>0</v>
      </c>
      <c r="M7" s="39" t="str">
        <f t="shared" si="0"/>
        <v>Normal Transaction</v>
      </c>
    </row>
    <row r="8" spans="1:19" x14ac:dyDescent="0.35">
      <c r="A8" s="27">
        <v>7</v>
      </c>
      <c r="B8" s="2" t="s">
        <v>0</v>
      </c>
      <c r="C8" s="2" t="s">
        <v>14</v>
      </c>
      <c r="D8" s="2" t="s">
        <v>8</v>
      </c>
      <c r="E8" s="2" t="s">
        <v>3</v>
      </c>
      <c r="F8" s="9" t="s">
        <v>4</v>
      </c>
      <c r="G8" s="9" t="str">
        <f t="shared" si="1"/>
        <v>Personal Care</v>
      </c>
      <c r="H8" s="25">
        <v>10.71</v>
      </c>
      <c r="I8" s="6">
        <v>1</v>
      </c>
      <c r="J8" s="25">
        <v>0.75</v>
      </c>
      <c r="K8" s="25">
        <v>11.46</v>
      </c>
      <c r="L8" s="9">
        <v>0</v>
      </c>
      <c r="M8" s="39" t="str">
        <f t="shared" si="0"/>
        <v>Normal Transaction</v>
      </c>
      <c r="O8" s="30"/>
    </row>
    <row r="9" spans="1:19" x14ac:dyDescent="0.35">
      <c r="A9" s="27">
        <v>8</v>
      </c>
      <c r="B9" s="2" t="s">
        <v>6</v>
      </c>
      <c r="C9" s="2" t="s">
        <v>7</v>
      </c>
      <c r="D9" s="2" t="s">
        <v>8</v>
      </c>
      <c r="E9" s="2" t="s">
        <v>9</v>
      </c>
      <c r="F9" s="9" t="s">
        <v>4</v>
      </c>
      <c r="G9" s="9" t="str">
        <f t="shared" si="1"/>
        <v>Personal Care</v>
      </c>
      <c r="H9" s="25">
        <v>18.23</v>
      </c>
      <c r="I9" s="6">
        <v>9</v>
      </c>
      <c r="J9" s="25">
        <v>11.48</v>
      </c>
      <c r="K9" s="25">
        <v>175.55</v>
      </c>
      <c r="L9" s="9">
        <v>0</v>
      </c>
      <c r="M9" s="39" t="str">
        <f t="shared" si="0"/>
        <v>Normal Transaction</v>
      </c>
      <c r="N9" s="31"/>
      <c r="O9" s="30"/>
      <c r="P9" s="50"/>
      <c r="Q9" s="51" t="s">
        <v>44</v>
      </c>
      <c r="R9" s="52" t="s">
        <v>45</v>
      </c>
      <c r="S9" s="53" t="s">
        <v>43</v>
      </c>
    </row>
    <row r="10" spans="1:19" x14ac:dyDescent="0.35">
      <c r="A10" s="27">
        <v>9</v>
      </c>
      <c r="B10" s="2" t="s">
        <v>0</v>
      </c>
      <c r="C10" s="2" t="s">
        <v>14</v>
      </c>
      <c r="D10" s="2" t="s">
        <v>2</v>
      </c>
      <c r="E10" s="2" t="s">
        <v>9</v>
      </c>
      <c r="F10" s="9" t="s">
        <v>12</v>
      </c>
      <c r="G10" s="9" t="str">
        <f t="shared" si="1"/>
        <v>Fruits</v>
      </c>
      <c r="H10" s="25">
        <v>14.15</v>
      </c>
      <c r="I10" s="6">
        <v>20</v>
      </c>
      <c r="J10" s="25">
        <v>19.809999999999999</v>
      </c>
      <c r="K10" s="25">
        <v>302.81</v>
      </c>
      <c r="L10" s="9">
        <v>30</v>
      </c>
      <c r="M10" s="39" t="str">
        <f t="shared" si="0"/>
        <v>Normal Transaction</v>
      </c>
      <c r="N10" s="27"/>
      <c r="O10" s="18"/>
      <c r="P10" s="39"/>
      <c r="Q10" s="27" t="s">
        <v>46</v>
      </c>
      <c r="R10" s="18">
        <f>CORREL(I2:I1001,K2:K1001)</f>
        <v>0.68428779972925124</v>
      </c>
      <c r="S10" s="39" t="s">
        <v>48</v>
      </c>
    </row>
    <row r="11" spans="1:19" x14ac:dyDescent="0.35">
      <c r="A11" s="27">
        <v>10</v>
      </c>
      <c r="B11" s="2" t="s">
        <v>6</v>
      </c>
      <c r="C11" s="2" t="s">
        <v>7</v>
      </c>
      <c r="D11" s="2" t="s">
        <v>2</v>
      </c>
      <c r="E11" s="2" t="s">
        <v>3</v>
      </c>
      <c r="F11" s="9" t="s">
        <v>4</v>
      </c>
      <c r="G11" s="9" t="str">
        <f t="shared" si="1"/>
        <v>Personal Care</v>
      </c>
      <c r="H11" s="25">
        <v>18.420000000000002</v>
      </c>
      <c r="I11" s="6">
        <v>19</v>
      </c>
      <c r="J11" s="25">
        <v>24.5</v>
      </c>
      <c r="K11" s="25">
        <v>374.48</v>
      </c>
      <c r="L11" s="9">
        <v>37</v>
      </c>
      <c r="M11" s="39" t="str">
        <f t="shared" si="0"/>
        <v>Normal Transaction</v>
      </c>
      <c r="N11" s="27"/>
      <c r="O11" s="18"/>
      <c r="P11" s="39"/>
      <c r="Q11" s="38" t="s">
        <v>47</v>
      </c>
      <c r="R11" s="54">
        <f>CORREL(K2:K1001,L2:L1001)</f>
        <v>0.5914407150714408</v>
      </c>
      <c r="S11" s="49" t="s">
        <v>48</v>
      </c>
    </row>
    <row r="12" spans="1:19" x14ac:dyDescent="0.35">
      <c r="A12" s="27">
        <v>11</v>
      </c>
      <c r="B12" s="2" t="s">
        <v>0</v>
      </c>
      <c r="C12" s="2" t="s">
        <v>14</v>
      </c>
      <c r="D12" s="2" t="s">
        <v>8</v>
      </c>
      <c r="E12" s="2" t="s">
        <v>3</v>
      </c>
      <c r="F12" s="9" t="s">
        <v>15</v>
      </c>
      <c r="G12" s="9" t="str">
        <f t="shared" si="1"/>
        <v>Household</v>
      </c>
      <c r="H12" s="25">
        <v>9.32</v>
      </c>
      <c r="I12" s="6">
        <v>7</v>
      </c>
      <c r="J12" s="25">
        <v>4.57</v>
      </c>
      <c r="K12" s="25">
        <v>69.81</v>
      </c>
      <c r="L12" s="9">
        <v>0</v>
      </c>
      <c r="M12" s="39" t="str">
        <f t="shared" si="0"/>
        <v>Normal Transaction</v>
      </c>
    </row>
    <row r="13" spans="1:19" x14ac:dyDescent="0.35">
      <c r="A13" s="27">
        <v>12</v>
      </c>
      <c r="B13" s="2" t="s">
        <v>6</v>
      </c>
      <c r="C13" s="2" t="s">
        <v>7</v>
      </c>
      <c r="D13" s="2" t="s">
        <v>2</v>
      </c>
      <c r="E13" s="2" t="s">
        <v>3</v>
      </c>
      <c r="F13" s="9" t="s">
        <v>17</v>
      </c>
      <c r="G13" s="9" t="str">
        <f t="shared" si="1"/>
        <v>Beverages</v>
      </c>
      <c r="H13" s="25">
        <v>6.89</v>
      </c>
      <c r="I13" s="6">
        <v>12</v>
      </c>
      <c r="J13" s="25">
        <v>5.79</v>
      </c>
      <c r="K13" s="25">
        <v>88.47</v>
      </c>
      <c r="L13" s="9">
        <v>8</v>
      </c>
      <c r="M13" s="39" t="str">
        <f t="shared" si="0"/>
        <v>Normal Transaction</v>
      </c>
    </row>
    <row r="14" spans="1:19" x14ac:dyDescent="0.35">
      <c r="A14" s="27">
        <v>13</v>
      </c>
      <c r="B14" s="2" t="s">
        <v>31</v>
      </c>
      <c r="C14" s="2" t="s">
        <v>1</v>
      </c>
      <c r="D14" s="2" t="s">
        <v>8</v>
      </c>
      <c r="E14" s="2" t="s">
        <v>9</v>
      </c>
      <c r="F14" s="9" t="s">
        <v>17</v>
      </c>
      <c r="G14" s="9" t="str">
        <f t="shared" si="1"/>
        <v>Beverages</v>
      </c>
      <c r="H14" s="25">
        <v>3.29</v>
      </c>
      <c r="I14" s="6">
        <v>4</v>
      </c>
      <c r="J14" s="25">
        <v>0.92</v>
      </c>
      <c r="K14" s="25">
        <v>14.08</v>
      </c>
      <c r="L14" s="9">
        <v>0</v>
      </c>
      <c r="M14" s="39" t="str">
        <f t="shared" si="0"/>
        <v>Normal Transaction</v>
      </c>
      <c r="Q14" s="51" t="s">
        <v>59</v>
      </c>
      <c r="R14" s="53" t="s">
        <v>45</v>
      </c>
    </row>
    <row r="15" spans="1:19" x14ac:dyDescent="0.35">
      <c r="A15" s="27">
        <v>14</v>
      </c>
      <c r="B15" s="2" t="s">
        <v>6</v>
      </c>
      <c r="C15" s="2" t="s">
        <v>7</v>
      </c>
      <c r="D15" s="2" t="s">
        <v>2</v>
      </c>
      <c r="E15" s="2" t="s">
        <v>9</v>
      </c>
      <c r="F15" s="9" t="s">
        <v>12</v>
      </c>
      <c r="G15" s="9" t="str">
        <f t="shared" si="1"/>
        <v>Fruits</v>
      </c>
      <c r="H15" s="25">
        <v>8.81</v>
      </c>
      <c r="I15" s="6">
        <v>5</v>
      </c>
      <c r="J15" s="25">
        <v>3.08</v>
      </c>
      <c r="K15" s="25">
        <v>47.13</v>
      </c>
      <c r="L15" s="9">
        <v>4</v>
      </c>
      <c r="M15" s="39" t="str">
        <f t="shared" si="0"/>
        <v>Normal Transaction</v>
      </c>
      <c r="Q15" s="27" t="s">
        <v>60</v>
      </c>
      <c r="R15" s="39">
        <f>_xlfn.QUARTILE.EXC(K2:K1001,1)</f>
        <v>38.36</v>
      </c>
    </row>
    <row r="16" spans="1:19" x14ac:dyDescent="0.35">
      <c r="A16" s="27">
        <v>15</v>
      </c>
      <c r="B16" s="2" t="s">
        <v>6</v>
      </c>
      <c r="C16" s="2" t="s">
        <v>7</v>
      </c>
      <c r="D16" s="2" t="s">
        <v>8</v>
      </c>
      <c r="E16" s="2" t="s">
        <v>9</v>
      </c>
      <c r="F16" s="9" t="s">
        <v>12</v>
      </c>
      <c r="G16" s="9" t="str">
        <f t="shared" si="1"/>
        <v>Fruits</v>
      </c>
      <c r="H16" s="25">
        <v>19.48</v>
      </c>
      <c r="I16" s="6">
        <v>3</v>
      </c>
      <c r="J16" s="25">
        <v>4.09</v>
      </c>
      <c r="K16" s="25">
        <v>62.53</v>
      </c>
      <c r="L16" s="9">
        <v>0</v>
      </c>
      <c r="M16" s="39" t="str">
        <f t="shared" si="0"/>
        <v>Normal Transaction</v>
      </c>
      <c r="O16" s="24"/>
      <c r="Q16" s="27" t="s">
        <v>61</v>
      </c>
      <c r="R16" s="55">
        <f>_xlfn.QUARTILE.EXC(K2:K1001,3)</f>
        <v>176.17750000000001</v>
      </c>
    </row>
    <row r="17" spans="1:18" x14ac:dyDescent="0.35">
      <c r="A17" s="27">
        <v>16</v>
      </c>
      <c r="B17" s="2" t="s">
        <v>6</v>
      </c>
      <c r="C17" s="2" t="s">
        <v>7</v>
      </c>
      <c r="D17" s="2" t="s">
        <v>8</v>
      </c>
      <c r="E17" s="2" t="s">
        <v>3</v>
      </c>
      <c r="F17" s="9" t="s">
        <v>10</v>
      </c>
      <c r="G17" s="9" t="str">
        <f t="shared" si="1"/>
        <v>Stationery</v>
      </c>
      <c r="H17" s="25">
        <v>5.55</v>
      </c>
      <c r="I17" s="6">
        <v>8</v>
      </c>
      <c r="J17" s="25">
        <v>3.11</v>
      </c>
      <c r="K17" s="25">
        <v>47.51</v>
      </c>
      <c r="L17" s="9">
        <v>0</v>
      </c>
      <c r="M17" s="39" t="str">
        <f t="shared" si="0"/>
        <v>Normal Transaction</v>
      </c>
      <c r="O17" s="5"/>
      <c r="Q17" s="27" t="s">
        <v>64</v>
      </c>
      <c r="R17" s="37">
        <f>_xlfn.QUARTILE.EXC(K2:K1001,3)-_xlfn.QUARTILE.EXC(K2:K1001,1)</f>
        <v>137.8175</v>
      </c>
    </row>
    <row r="18" spans="1:18" x14ac:dyDescent="0.35">
      <c r="A18" s="27">
        <v>17</v>
      </c>
      <c r="B18" s="2" t="s">
        <v>6</v>
      </c>
      <c r="C18" s="2" t="s">
        <v>7</v>
      </c>
      <c r="D18" s="2" t="s">
        <v>2</v>
      </c>
      <c r="E18" s="2" t="s">
        <v>9</v>
      </c>
      <c r="F18" s="9" t="s">
        <v>12</v>
      </c>
      <c r="G18" s="9" t="str">
        <f t="shared" si="1"/>
        <v>Fruits</v>
      </c>
      <c r="H18" s="25">
        <v>2.13</v>
      </c>
      <c r="I18" s="6">
        <v>2</v>
      </c>
      <c r="J18" s="25">
        <v>0.3</v>
      </c>
      <c r="K18" s="25">
        <v>4.5599999999999996</v>
      </c>
      <c r="L18" s="9">
        <v>0</v>
      </c>
      <c r="M18" s="39" t="str">
        <f t="shared" si="0"/>
        <v>Normal Transaction</v>
      </c>
      <c r="Q18" s="27" t="s">
        <v>62</v>
      </c>
      <c r="R18" s="39">
        <f>38.6-(1.5*137.82)</f>
        <v>-168.13</v>
      </c>
    </row>
    <row r="19" spans="1:18" x14ac:dyDescent="0.35">
      <c r="A19" s="27">
        <v>18</v>
      </c>
      <c r="B19" s="2" t="s">
        <v>6</v>
      </c>
      <c r="C19" s="2" t="s">
        <v>7</v>
      </c>
      <c r="D19" s="2" t="s">
        <v>8</v>
      </c>
      <c r="E19" s="2" t="s">
        <v>3</v>
      </c>
      <c r="F19" s="9" t="s">
        <v>10</v>
      </c>
      <c r="G19" s="9" t="str">
        <f t="shared" si="1"/>
        <v>Stationery</v>
      </c>
      <c r="H19" s="25">
        <v>13.26</v>
      </c>
      <c r="I19" s="6">
        <v>15</v>
      </c>
      <c r="J19" s="25">
        <v>13.92</v>
      </c>
      <c r="K19" s="25">
        <v>212.82</v>
      </c>
      <c r="L19" s="9">
        <v>0</v>
      </c>
      <c r="M19" s="39" t="str">
        <f t="shared" si="0"/>
        <v>Normal Transaction</v>
      </c>
      <c r="O19" s="8"/>
      <c r="Q19" s="38" t="s">
        <v>63</v>
      </c>
      <c r="R19" s="49">
        <f>176.2+(1.5*137.82)</f>
        <v>382.92999999999995</v>
      </c>
    </row>
    <row r="20" spans="1:18" x14ac:dyDescent="0.35">
      <c r="A20" s="27">
        <v>19</v>
      </c>
      <c r="B20" s="2" t="s">
        <v>31</v>
      </c>
      <c r="C20" s="2" t="s">
        <v>1</v>
      </c>
      <c r="D20" s="2" t="s">
        <v>2</v>
      </c>
      <c r="E20" s="2" t="s">
        <v>3</v>
      </c>
      <c r="F20" s="9" t="s">
        <v>12</v>
      </c>
      <c r="G20" s="9" t="str">
        <f t="shared" si="1"/>
        <v>Fruits</v>
      </c>
      <c r="H20" s="25">
        <v>19.59</v>
      </c>
      <c r="I20" s="6">
        <v>2</v>
      </c>
      <c r="J20" s="25">
        <v>2.74</v>
      </c>
      <c r="K20" s="25">
        <v>41.92</v>
      </c>
      <c r="L20" s="9">
        <v>4</v>
      </c>
      <c r="M20" s="39" t="str">
        <f t="shared" si="0"/>
        <v>Normal Transaction</v>
      </c>
    </row>
    <row r="21" spans="1:18" x14ac:dyDescent="0.35">
      <c r="A21" s="27">
        <v>20</v>
      </c>
      <c r="B21" s="2" t="s">
        <v>0</v>
      </c>
      <c r="C21" s="2" t="s">
        <v>14</v>
      </c>
      <c r="D21" s="2" t="s">
        <v>8</v>
      </c>
      <c r="E21" s="2" t="s">
        <v>3</v>
      </c>
      <c r="F21" s="9" t="s">
        <v>15</v>
      </c>
      <c r="G21" s="9" t="str">
        <f t="shared" si="1"/>
        <v>Household</v>
      </c>
      <c r="H21" s="25">
        <v>6.98</v>
      </c>
      <c r="I21" s="6">
        <v>8</v>
      </c>
      <c r="J21" s="25">
        <v>3.91</v>
      </c>
      <c r="K21" s="25">
        <v>59.75</v>
      </c>
      <c r="L21" s="9">
        <v>0</v>
      </c>
      <c r="M21" s="39" t="str">
        <f t="shared" si="0"/>
        <v>Normal Transaction</v>
      </c>
    </row>
    <row r="22" spans="1:18" x14ac:dyDescent="0.35">
      <c r="A22" s="27">
        <v>21</v>
      </c>
      <c r="B22" s="2" t="s">
        <v>6</v>
      </c>
      <c r="C22" s="2" t="s">
        <v>7</v>
      </c>
      <c r="D22" s="2" t="s">
        <v>8</v>
      </c>
      <c r="E22" s="2" t="s">
        <v>9</v>
      </c>
      <c r="F22" s="9" t="s">
        <v>4</v>
      </c>
      <c r="G22" s="9" t="str">
        <f t="shared" si="1"/>
        <v>Personal Care</v>
      </c>
      <c r="H22" s="25">
        <v>4.3600000000000003</v>
      </c>
      <c r="I22" s="6">
        <v>11</v>
      </c>
      <c r="J22" s="25">
        <v>3.36</v>
      </c>
      <c r="K22" s="25">
        <v>51.32</v>
      </c>
      <c r="L22" s="9">
        <v>0</v>
      </c>
      <c r="M22" s="39" t="str">
        <f t="shared" si="0"/>
        <v>Normal Transaction</v>
      </c>
    </row>
    <row r="23" spans="1:18" x14ac:dyDescent="0.35">
      <c r="A23" s="27">
        <v>22</v>
      </c>
      <c r="B23" s="2" t="s">
        <v>6</v>
      </c>
      <c r="C23" s="2" t="s">
        <v>7</v>
      </c>
      <c r="D23" s="2" t="s">
        <v>8</v>
      </c>
      <c r="E23" s="2" t="s">
        <v>3</v>
      </c>
      <c r="F23" s="9" t="s">
        <v>17</v>
      </c>
      <c r="G23" s="9" t="str">
        <f t="shared" si="1"/>
        <v>Beverages</v>
      </c>
      <c r="H23" s="25">
        <v>6.8</v>
      </c>
      <c r="I23" s="6">
        <v>1</v>
      </c>
      <c r="J23" s="25">
        <v>0.48</v>
      </c>
      <c r="K23" s="25">
        <v>7.28</v>
      </c>
      <c r="L23" s="9">
        <v>0</v>
      </c>
      <c r="M23" s="39" t="str">
        <f t="shared" si="0"/>
        <v>Normal Transaction</v>
      </c>
    </row>
    <row r="24" spans="1:18" x14ac:dyDescent="0.35">
      <c r="A24" s="27">
        <v>23</v>
      </c>
      <c r="B24" s="2" t="s">
        <v>31</v>
      </c>
      <c r="C24" s="2" t="s">
        <v>1</v>
      </c>
      <c r="D24" s="2" t="s">
        <v>2</v>
      </c>
      <c r="E24" s="2" t="s">
        <v>9</v>
      </c>
      <c r="F24" s="9" t="s">
        <v>4</v>
      </c>
      <c r="G24" s="9" t="str">
        <f t="shared" si="1"/>
        <v>Personal Care</v>
      </c>
      <c r="H24" s="25">
        <v>1.95</v>
      </c>
      <c r="I24" s="6">
        <v>16</v>
      </c>
      <c r="J24" s="25">
        <v>2.1800000000000002</v>
      </c>
      <c r="K24" s="25">
        <v>33.380000000000003</v>
      </c>
      <c r="L24" s="9">
        <v>3</v>
      </c>
      <c r="M24" s="39" t="str">
        <f t="shared" si="0"/>
        <v>Normal Transaction</v>
      </c>
    </row>
    <row r="25" spans="1:18" x14ac:dyDescent="0.35">
      <c r="A25" s="27">
        <v>24</v>
      </c>
      <c r="B25" s="2" t="s">
        <v>0</v>
      </c>
      <c r="C25" s="2" t="s">
        <v>14</v>
      </c>
      <c r="D25" s="2" t="s">
        <v>8</v>
      </c>
      <c r="E25" s="2" t="s">
        <v>3</v>
      </c>
      <c r="F25" s="9" t="s">
        <v>12</v>
      </c>
      <c r="G25" s="9" t="str">
        <f t="shared" si="1"/>
        <v>Fruits</v>
      </c>
      <c r="H25" s="25">
        <v>19.05</v>
      </c>
      <c r="I25" s="6">
        <v>2</v>
      </c>
      <c r="J25" s="25">
        <v>2.67</v>
      </c>
      <c r="K25" s="25">
        <v>40.770000000000003</v>
      </c>
      <c r="L25" s="9">
        <v>0</v>
      </c>
      <c r="M25" s="39" t="str">
        <f t="shared" si="0"/>
        <v>Normal Transaction</v>
      </c>
    </row>
    <row r="26" spans="1:18" x14ac:dyDescent="0.35">
      <c r="A26" s="27">
        <v>25</v>
      </c>
      <c r="B26" s="2" t="s">
        <v>6</v>
      </c>
      <c r="C26" s="2" t="s">
        <v>7</v>
      </c>
      <c r="D26" s="2" t="s">
        <v>2</v>
      </c>
      <c r="E26" s="2" t="s">
        <v>3</v>
      </c>
      <c r="F26" s="9" t="s">
        <v>15</v>
      </c>
      <c r="G26" s="9" t="str">
        <f t="shared" si="1"/>
        <v>Household</v>
      </c>
      <c r="H26" s="25">
        <v>11.33</v>
      </c>
      <c r="I26" s="6">
        <v>18</v>
      </c>
      <c r="J26" s="25">
        <v>14.28</v>
      </c>
      <c r="K26" s="25">
        <v>218.22</v>
      </c>
      <c r="L26" s="9">
        <v>21</v>
      </c>
      <c r="M26" s="39" t="str">
        <f t="shared" si="0"/>
        <v>Normal Transaction</v>
      </c>
    </row>
    <row r="27" spans="1:18" x14ac:dyDescent="0.35">
      <c r="A27" s="27">
        <v>26</v>
      </c>
      <c r="B27" s="2" t="s">
        <v>6</v>
      </c>
      <c r="C27" s="2" t="s">
        <v>7</v>
      </c>
      <c r="D27" s="2" t="s">
        <v>8</v>
      </c>
      <c r="E27" s="2" t="s">
        <v>3</v>
      </c>
      <c r="F27" s="9" t="s">
        <v>10</v>
      </c>
      <c r="G27" s="9" t="str">
        <f t="shared" si="1"/>
        <v>Stationery</v>
      </c>
      <c r="H27" s="25">
        <v>13.94</v>
      </c>
      <c r="I27" s="6">
        <v>16</v>
      </c>
      <c r="J27" s="25">
        <v>15.61</v>
      </c>
      <c r="K27" s="25">
        <v>238.65</v>
      </c>
      <c r="L27" s="9">
        <v>0</v>
      </c>
      <c r="M27" s="39" t="str">
        <f t="shared" si="0"/>
        <v>Normal Transaction</v>
      </c>
    </row>
    <row r="28" spans="1:18" x14ac:dyDescent="0.35">
      <c r="A28" s="27">
        <v>27</v>
      </c>
      <c r="B28" s="2" t="s">
        <v>31</v>
      </c>
      <c r="C28" s="2" t="s">
        <v>1</v>
      </c>
      <c r="D28" s="2" t="s">
        <v>2</v>
      </c>
      <c r="E28" s="2" t="s">
        <v>3</v>
      </c>
      <c r="F28" s="9" t="s">
        <v>15</v>
      </c>
      <c r="G28" s="9" t="str">
        <f t="shared" si="1"/>
        <v>Household</v>
      </c>
      <c r="H28" s="25">
        <v>9.5500000000000007</v>
      </c>
      <c r="I28" s="6">
        <v>2</v>
      </c>
      <c r="J28" s="25">
        <v>1.34</v>
      </c>
      <c r="K28" s="25">
        <v>20.440000000000001</v>
      </c>
      <c r="L28" s="9">
        <v>2</v>
      </c>
      <c r="M28" s="39" t="str">
        <f t="shared" si="0"/>
        <v>Normal Transaction</v>
      </c>
    </row>
    <row r="29" spans="1:18" x14ac:dyDescent="0.35">
      <c r="A29" s="27">
        <v>28</v>
      </c>
      <c r="B29" s="2" t="s">
        <v>31</v>
      </c>
      <c r="C29" s="2" t="s">
        <v>1</v>
      </c>
      <c r="D29" s="2" t="s">
        <v>2</v>
      </c>
      <c r="E29" s="2" t="s">
        <v>9</v>
      </c>
      <c r="F29" s="9" t="s">
        <v>15</v>
      </c>
      <c r="G29" s="9" t="str">
        <f t="shared" si="1"/>
        <v>Household</v>
      </c>
      <c r="H29" s="25">
        <v>16.46</v>
      </c>
      <c r="I29" s="6">
        <v>17</v>
      </c>
      <c r="J29" s="25">
        <v>19.59</v>
      </c>
      <c r="K29" s="25">
        <v>299.41000000000003</v>
      </c>
      <c r="L29" s="9">
        <v>29</v>
      </c>
      <c r="M29" s="39" t="str">
        <f t="shared" si="0"/>
        <v>Normal Transaction</v>
      </c>
    </row>
    <row r="30" spans="1:18" x14ac:dyDescent="0.35">
      <c r="A30" s="27">
        <v>29</v>
      </c>
      <c r="B30" s="2" t="s">
        <v>6</v>
      </c>
      <c r="C30" s="2" t="s">
        <v>7</v>
      </c>
      <c r="D30" s="2" t="s">
        <v>2</v>
      </c>
      <c r="E30" s="2" t="s">
        <v>9</v>
      </c>
      <c r="F30" s="9" t="s">
        <v>4</v>
      </c>
      <c r="G30" s="9" t="str">
        <f t="shared" si="1"/>
        <v>Personal Care</v>
      </c>
      <c r="H30" s="25">
        <v>12.3</v>
      </c>
      <c r="I30" s="6">
        <v>17</v>
      </c>
      <c r="J30" s="25">
        <v>14.64</v>
      </c>
      <c r="K30" s="25">
        <v>223.74</v>
      </c>
      <c r="L30" s="9">
        <v>22</v>
      </c>
      <c r="M30" s="39" t="str">
        <f t="shared" si="0"/>
        <v>Normal Transaction</v>
      </c>
    </row>
    <row r="31" spans="1:18" x14ac:dyDescent="0.35">
      <c r="A31" s="27">
        <v>30</v>
      </c>
      <c r="B31" s="2" t="s">
        <v>0</v>
      </c>
      <c r="C31" s="2" t="s">
        <v>14</v>
      </c>
      <c r="D31" s="2" t="s">
        <v>2</v>
      </c>
      <c r="E31" s="2" t="s">
        <v>3</v>
      </c>
      <c r="F31" s="9" t="s">
        <v>17</v>
      </c>
      <c r="G31" s="9" t="str">
        <f t="shared" si="1"/>
        <v>Beverages</v>
      </c>
      <c r="H31" s="25">
        <v>12.37</v>
      </c>
      <c r="I31" s="6">
        <v>15</v>
      </c>
      <c r="J31" s="25">
        <v>12.99</v>
      </c>
      <c r="K31" s="25">
        <v>198.54</v>
      </c>
      <c r="L31" s="9">
        <v>19</v>
      </c>
      <c r="M31" s="39" t="str">
        <f t="shared" si="0"/>
        <v>Normal Transaction</v>
      </c>
    </row>
    <row r="32" spans="1:18" x14ac:dyDescent="0.35">
      <c r="A32" s="27">
        <v>31</v>
      </c>
      <c r="B32" s="2" t="s">
        <v>0</v>
      </c>
      <c r="C32" s="2" t="s">
        <v>14</v>
      </c>
      <c r="D32" s="2" t="s">
        <v>2</v>
      </c>
      <c r="E32" s="2" t="s">
        <v>3</v>
      </c>
      <c r="F32" s="9" t="s">
        <v>4</v>
      </c>
      <c r="G32" s="9" t="str">
        <f t="shared" si="1"/>
        <v>Personal Care</v>
      </c>
      <c r="H32" s="25">
        <v>3.7</v>
      </c>
      <c r="I32" s="6">
        <v>3</v>
      </c>
      <c r="J32" s="25">
        <v>0.78</v>
      </c>
      <c r="K32" s="25">
        <v>11.88</v>
      </c>
      <c r="L32" s="9">
        <v>1</v>
      </c>
      <c r="M32" s="39" t="str">
        <f t="shared" si="0"/>
        <v>Normal Transaction</v>
      </c>
    </row>
    <row r="33" spans="1:13" x14ac:dyDescent="0.35">
      <c r="A33" s="27">
        <v>32</v>
      </c>
      <c r="B33" s="2" t="s">
        <v>31</v>
      </c>
      <c r="C33" s="2" t="s">
        <v>1</v>
      </c>
      <c r="D33" s="2" t="s">
        <v>2</v>
      </c>
      <c r="E33" s="2" t="s">
        <v>9</v>
      </c>
      <c r="F33" s="9" t="s">
        <v>17</v>
      </c>
      <c r="G33" s="9" t="str">
        <f t="shared" si="1"/>
        <v>Beverages</v>
      </c>
      <c r="H33" s="25">
        <v>5.39</v>
      </c>
      <c r="I33" s="6">
        <v>3</v>
      </c>
      <c r="J33" s="25">
        <v>1.1299999999999999</v>
      </c>
      <c r="K33" s="25">
        <v>17.3</v>
      </c>
      <c r="L33" s="9">
        <v>1</v>
      </c>
      <c r="M33" s="39" t="str">
        <f t="shared" si="0"/>
        <v>Normal Transaction</v>
      </c>
    </row>
    <row r="34" spans="1:13" x14ac:dyDescent="0.35">
      <c r="A34" s="27">
        <v>33</v>
      </c>
      <c r="B34" s="2" t="s">
        <v>6</v>
      </c>
      <c r="C34" s="2" t="s">
        <v>7</v>
      </c>
      <c r="D34" s="2" t="s">
        <v>8</v>
      </c>
      <c r="E34" s="2" t="s">
        <v>3</v>
      </c>
      <c r="F34" s="9" t="s">
        <v>10</v>
      </c>
      <c r="G34" s="9" t="str">
        <f t="shared" si="1"/>
        <v>Stationery</v>
      </c>
      <c r="H34" s="25">
        <v>6.94</v>
      </c>
      <c r="I34" s="6">
        <v>17</v>
      </c>
      <c r="J34" s="25">
        <v>8.26</v>
      </c>
      <c r="K34" s="25">
        <v>126.24</v>
      </c>
      <c r="L34" s="9">
        <v>0</v>
      </c>
      <c r="M34" s="39" t="str">
        <f t="shared" si="0"/>
        <v>Normal Transaction</v>
      </c>
    </row>
    <row r="35" spans="1:13" x14ac:dyDescent="0.35">
      <c r="A35" s="27">
        <v>34</v>
      </c>
      <c r="B35" s="2" t="s">
        <v>6</v>
      </c>
      <c r="C35" s="2" t="s">
        <v>7</v>
      </c>
      <c r="D35" s="2" t="s">
        <v>8</v>
      </c>
      <c r="E35" s="2" t="s">
        <v>3</v>
      </c>
      <c r="F35" s="9" t="s">
        <v>17</v>
      </c>
      <c r="G35" s="9" t="str">
        <f t="shared" si="1"/>
        <v>Beverages</v>
      </c>
      <c r="H35" s="25">
        <v>8.1300000000000008</v>
      </c>
      <c r="I35" s="6">
        <v>9</v>
      </c>
      <c r="J35" s="25">
        <v>5.12</v>
      </c>
      <c r="K35" s="25">
        <v>78.290000000000006</v>
      </c>
      <c r="L35" s="9">
        <v>0</v>
      </c>
      <c r="M35" s="39" t="str">
        <f t="shared" si="0"/>
        <v>Normal Transaction</v>
      </c>
    </row>
    <row r="36" spans="1:13" x14ac:dyDescent="0.35">
      <c r="A36" s="27">
        <v>35</v>
      </c>
      <c r="B36" s="2" t="s">
        <v>31</v>
      </c>
      <c r="C36" s="2" t="s">
        <v>1</v>
      </c>
      <c r="D36" s="2" t="s">
        <v>2</v>
      </c>
      <c r="E36" s="2" t="s">
        <v>3</v>
      </c>
      <c r="F36" s="9" t="s">
        <v>12</v>
      </c>
      <c r="G36" s="9" t="str">
        <f t="shared" si="1"/>
        <v>Fruits</v>
      </c>
      <c r="H36" s="25">
        <v>13.42</v>
      </c>
      <c r="I36" s="6">
        <v>2</v>
      </c>
      <c r="J36" s="25">
        <v>1.88</v>
      </c>
      <c r="K36" s="25">
        <v>28.72</v>
      </c>
      <c r="L36" s="9">
        <v>2</v>
      </c>
      <c r="M36" s="39" t="str">
        <f t="shared" si="0"/>
        <v>Normal Transaction</v>
      </c>
    </row>
    <row r="37" spans="1:13" x14ac:dyDescent="0.35">
      <c r="A37" s="27">
        <v>36</v>
      </c>
      <c r="B37" s="2" t="s">
        <v>31</v>
      </c>
      <c r="C37" s="2" t="s">
        <v>1</v>
      </c>
      <c r="D37" s="2" t="s">
        <v>2</v>
      </c>
      <c r="E37" s="2" t="s">
        <v>3</v>
      </c>
      <c r="F37" s="9" t="s">
        <v>15</v>
      </c>
      <c r="G37" s="9" t="str">
        <f t="shared" si="1"/>
        <v>Household</v>
      </c>
      <c r="H37" s="25">
        <v>13.14</v>
      </c>
      <c r="I37" s="6">
        <v>15</v>
      </c>
      <c r="J37" s="25">
        <v>13.8</v>
      </c>
      <c r="K37" s="25">
        <v>210.9</v>
      </c>
      <c r="L37" s="9">
        <v>21</v>
      </c>
      <c r="M37" s="39" t="str">
        <f t="shared" si="0"/>
        <v>Normal Transaction</v>
      </c>
    </row>
    <row r="38" spans="1:13" x14ac:dyDescent="0.35">
      <c r="A38" s="27">
        <v>37</v>
      </c>
      <c r="B38" s="2" t="s">
        <v>6</v>
      </c>
      <c r="C38" s="2" t="s">
        <v>7</v>
      </c>
      <c r="D38" s="2" t="s">
        <v>2</v>
      </c>
      <c r="E38" s="2" t="s">
        <v>3</v>
      </c>
      <c r="F38" s="9" t="s">
        <v>4</v>
      </c>
      <c r="G38" s="9" t="str">
        <f t="shared" si="1"/>
        <v>Personal Care</v>
      </c>
      <c r="H38" s="25">
        <v>11.14</v>
      </c>
      <c r="I38" s="6">
        <v>16</v>
      </c>
      <c r="J38" s="25">
        <v>12.48</v>
      </c>
      <c r="K38" s="25">
        <v>190.72</v>
      </c>
      <c r="L38" s="9">
        <v>19</v>
      </c>
      <c r="M38" s="39" t="str">
        <f t="shared" si="0"/>
        <v>Normal Transaction</v>
      </c>
    </row>
    <row r="39" spans="1:13" x14ac:dyDescent="0.35">
      <c r="A39" s="27">
        <v>38</v>
      </c>
      <c r="B39" s="2" t="s">
        <v>6</v>
      </c>
      <c r="C39" s="2" t="s">
        <v>7</v>
      </c>
      <c r="D39" s="2" t="s">
        <v>2</v>
      </c>
      <c r="E39" s="2" t="s">
        <v>9</v>
      </c>
      <c r="F39" s="9" t="s">
        <v>10</v>
      </c>
      <c r="G39" s="9" t="str">
        <f t="shared" si="1"/>
        <v>Stationery</v>
      </c>
      <c r="H39" s="25">
        <v>5.42</v>
      </c>
      <c r="I39" s="6">
        <v>14</v>
      </c>
      <c r="J39" s="25">
        <v>5.31</v>
      </c>
      <c r="K39" s="25">
        <v>81.19</v>
      </c>
      <c r="L39" s="9">
        <v>8</v>
      </c>
      <c r="M39" s="39" t="str">
        <f t="shared" si="0"/>
        <v>Normal Transaction</v>
      </c>
    </row>
    <row r="40" spans="1:13" x14ac:dyDescent="0.35">
      <c r="A40" s="27">
        <v>39</v>
      </c>
      <c r="B40" s="2" t="s">
        <v>31</v>
      </c>
      <c r="C40" s="2" t="s">
        <v>1</v>
      </c>
      <c r="D40" s="2" t="s">
        <v>2</v>
      </c>
      <c r="E40" s="2" t="s">
        <v>9</v>
      </c>
      <c r="F40" s="9" t="s">
        <v>10</v>
      </c>
      <c r="G40" s="9" t="str">
        <f t="shared" si="1"/>
        <v>Stationery</v>
      </c>
      <c r="H40" s="25">
        <v>15.34</v>
      </c>
      <c r="I40" s="6">
        <v>15</v>
      </c>
      <c r="J40" s="25">
        <v>16.11</v>
      </c>
      <c r="K40" s="25">
        <v>246.21</v>
      </c>
      <c r="L40" s="9">
        <v>24</v>
      </c>
      <c r="M40" s="39" t="str">
        <f t="shared" si="0"/>
        <v>Normal Transaction</v>
      </c>
    </row>
    <row r="41" spans="1:13" x14ac:dyDescent="0.35">
      <c r="A41" s="27">
        <v>40</v>
      </c>
      <c r="B41" s="2" t="s">
        <v>31</v>
      </c>
      <c r="C41" s="2" t="s">
        <v>1</v>
      </c>
      <c r="D41" s="2" t="s">
        <v>8</v>
      </c>
      <c r="E41" s="2" t="s">
        <v>9</v>
      </c>
      <c r="F41" s="9" t="s">
        <v>12</v>
      </c>
      <c r="G41" s="9" t="str">
        <f t="shared" si="1"/>
        <v>Fruits</v>
      </c>
      <c r="H41" s="25">
        <v>1.17</v>
      </c>
      <c r="I41" s="6">
        <v>11</v>
      </c>
      <c r="J41" s="25">
        <v>0.9</v>
      </c>
      <c r="K41" s="25">
        <v>13.77</v>
      </c>
      <c r="L41" s="9">
        <v>0</v>
      </c>
      <c r="M41" s="39" t="str">
        <f t="shared" si="0"/>
        <v>Normal Transaction</v>
      </c>
    </row>
    <row r="42" spans="1:13" x14ac:dyDescent="0.35">
      <c r="A42" s="27">
        <v>41</v>
      </c>
      <c r="B42" s="2" t="s">
        <v>31</v>
      </c>
      <c r="C42" s="2" t="s">
        <v>1</v>
      </c>
      <c r="D42" s="2" t="s">
        <v>2</v>
      </c>
      <c r="E42" s="2" t="s">
        <v>9</v>
      </c>
      <c r="F42" s="9" t="s">
        <v>10</v>
      </c>
      <c r="G42" s="9" t="str">
        <f t="shared" si="1"/>
        <v>Stationery</v>
      </c>
      <c r="H42" s="25">
        <v>10.8</v>
      </c>
      <c r="I42" s="6">
        <v>10</v>
      </c>
      <c r="J42" s="25">
        <v>7.56</v>
      </c>
      <c r="K42" s="25">
        <v>115.56</v>
      </c>
      <c r="L42" s="9">
        <v>11</v>
      </c>
      <c r="M42" s="39" t="str">
        <f t="shared" si="0"/>
        <v>Normal Transaction</v>
      </c>
    </row>
    <row r="43" spans="1:13" x14ac:dyDescent="0.35">
      <c r="A43" s="27">
        <v>42</v>
      </c>
      <c r="B43" s="2" t="s">
        <v>31</v>
      </c>
      <c r="C43" s="2" t="s">
        <v>1</v>
      </c>
      <c r="D43" s="2" t="s">
        <v>8</v>
      </c>
      <c r="E43" s="2" t="s">
        <v>3</v>
      </c>
      <c r="F43" s="9" t="s">
        <v>12</v>
      </c>
      <c r="G43" s="9" t="str">
        <f t="shared" si="1"/>
        <v>Fruits</v>
      </c>
      <c r="H43" s="25">
        <v>10.98</v>
      </c>
      <c r="I43" s="6">
        <v>12</v>
      </c>
      <c r="J43" s="25">
        <v>9.2200000000000006</v>
      </c>
      <c r="K43" s="25">
        <v>140.97999999999999</v>
      </c>
      <c r="L43" s="9">
        <v>0</v>
      </c>
      <c r="M43" s="39" t="str">
        <f t="shared" si="0"/>
        <v>Normal Transaction</v>
      </c>
    </row>
    <row r="44" spans="1:13" x14ac:dyDescent="0.35">
      <c r="A44" s="27">
        <v>43</v>
      </c>
      <c r="B44" s="2" t="s">
        <v>31</v>
      </c>
      <c r="C44" s="2" t="s">
        <v>1</v>
      </c>
      <c r="D44" s="2" t="s">
        <v>8</v>
      </c>
      <c r="E44" s="2" t="s">
        <v>9</v>
      </c>
      <c r="F44" s="9" t="s">
        <v>10</v>
      </c>
      <c r="G44" s="9" t="str">
        <f t="shared" si="1"/>
        <v>Stationery</v>
      </c>
      <c r="H44" s="25">
        <v>4.17</v>
      </c>
      <c r="I44" s="6">
        <v>2</v>
      </c>
      <c r="J44" s="25">
        <v>0.57999999999999996</v>
      </c>
      <c r="K44" s="25">
        <v>8.92</v>
      </c>
      <c r="L44" s="9">
        <v>0</v>
      </c>
      <c r="M44" s="39" t="str">
        <f t="shared" si="0"/>
        <v>Normal Transaction</v>
      </c>
    </row>
    <row r="45" spans="1:13" x14ac:dyDescent="0.35">
      <c r="A45" s="27">
        <v>44</v>
      </c>
      <c r="B45" s="2" t="s">
        <v>0</v>
      </c>
      <c r="C45" s="2" t="s">
        <v>14</v>
      </c>
      <c r="D45" s="2" t="s">
        <v>2</v>
      </c>
      <c r="E45" s="2" t="s">
        <v>3</v>
      </c>
      <c r="F45" s="9" t="s">
        <v>15</v>
      </c>
      <c r="G45" s="9" t="str">
        <f t="shared" si="1"/>
        <v>Household</v>
      </c>
      <c r="H45" s="25">
        <v>20.13</v>
      </c>
      <c r="I45" s="6">
        <v>2</v>
      </c>
      <c r="J45" s="25">
        <v>2.82</v>
      </c>
      <c r="K45" s="25">
        <v>43.08</v>
      </c>
      <c r="L45" s="9">
        <v>4</v>
      </c>
      <c r="M45" s="39" t="str">
        <f t="shared" si="0"/>
        <v>Normal Transaction</v>
      </c>
    </row>
    <row r="46" spans="1:13" x14ac:dyDescent="0.35">
      <c r="A46" s="27">
        <v>45</v>
      </c>
      <c r="B46" s="2" t="s">
        <v>6</v>
      </c>
      <c r="C46" s="2" t="s">
        <v>7</v>
      </c>
      <c r="D46" s="2" t="s">
        <v>2</v>
      </c>
      <c r="E46" s="2" t="s">
        <v>9</v>
      </c>
      <c r="F46" s="9" t="s">
        <v>4</v>
      </c>
      <c r="G46" s="9" t="str">
        <f t="shared" si="1"/>
        <v>Personal Care</v>
      </c>
      <c r="H46" s="25">
        <v>15.73</v>
      </c>
      <c r="I46" s="6">
        <v>8</v>
      </c>
      <c r="J46" s="25">
        <v>8.81</v>
      </c>
      <c r="K46" s="25">
        <v>134.65</v>
      </c>
      <c r="L46" s="9">
        <v>13</v>
      </c>
      <c r="M46" s="39" t="str">
        <f t="shared" si="0"/>
        <v>Normal Transaction</v>
      </c>
    </row>
    <row r="47" spans="1:13" x14ac:dyDescent="0.35">
      <c r="A47" s="27">
        <v>46</v>
      </c>
      <c r="B47" s="2" t="s">
        <v>31</v>
      </c>
      <c r="C47" s="2" t="s">
        <v>1</v>
      </c>
      <c r="D47" s="2" t="s">
        <v>2</v>
      </c>
      <c r="E47" s="2" t="s">
        <v>3</v>
      </c>
      <c r="F47" s="9" t="s">
        <v>4</v>
      </c>
      <c r="G47" s="9" t="str">
        <f t="shared" si="1"/>
        <v>Personal Care</v>
      </c>
      <c r="H47" s="25">
        <v>15.95</v>
      </c>
      <c r="I47" s="6">
        <v>8</v>
      </c>
      <c r="J47" s="25">
        <v>8.93</v>
      </c>
      <c r="K47" s="25">
        <v>136.53</v>
      </c>
      <c r="L47" s="9">
        <v>13</v>
      </c>
      <c r="M47" s="39" t="str">
        <f t="shared" si="0"/>
        <v>Normal Transaction</v>
      </c>
    </row>
    <row r="48" spans="1:13" x14ac:dyDescent="0.35">
      <c r="A48" s="27">
        <v>47</v>
      </c>
      <c r="B48" s="2" t="s">
        <v>31</v>
      </c>
      <c r="C48" s="2" t="s">
        <v>1</v>
      </c>
      <c r="D48" s="2" t="s">
        <v>8</v>
      </c>
      <c r="E48" s="2" t="s">
        <v>3</v>
      </c>
      <c r="F48" s="9" t="s">
        <v>4</v>
      </c>
      <c r="G48" s="9" t="str">
        <f t="shared" si="1"/>
        <v>Personal Care</v>
      </c>
      <c r="H48" s="25">
        <v>1.28</v>
      </c>
      <c r="I48" s="6">
        <v>8</v>
      </c>
      <c r="J48" s="25">
        <v>0.72</v>
      </c>
      <c r="K48" s="25">
        <v>10.96</v>
      </c>
      <c r="L48" s="9">
        <v>0</v>
      </c>
      <c r="M48" s="39" t="str">
        <f t="shared" si="0"/>
        <v>Normal Transaction</v>
      </c>
    </row>
    <row r="49" spans="1:13" x14ac:dyDescent="0.35">
      <c r="A49" s="27">
        <v>48</v>
      </c>
      <c r="B49" s="2" t="s">
        <v>6</v>
      </c>
      <c r="C49" s="2" t="s">
        <v>7</v>
      </c>
      <c r="D49" s="2" t="s">
        <v>8</v>
      </c>
      <c r="E49" s="2" t="s">
        <v>9</v>
      </c>
      <c r="F49" s="9" t="s">
        <v>15</v>
      </c>
      <c r="G49" s="9" t="str">
        <f t="shared" si="1"/>
        <v>Household</v>
      </c>
      <c r="H49" s="25">
        <v>9.98</v>
      </c>
      <c r="I49" s="6">
        <v>20</v>
      </c>
      <c r="J49" s="25">
        <v>13.97</v>
      </c>
      <c r="K49" s="25">
        <v>213.57</v>
      </c>
      <c r="L49" s="9">
        <v>0</v>
      </c>
      <c r="M49" s="39" t="str">
        <f t="shared" si="0"/>
        <v>Normal Transaction</v>
      </c>
    </row>
    <row r="50" spans="1:13" x14ac:dyDescent="0.35">
      <c r="A50" s="27">
        <v>49</v>
      </c>
      <c r="B50" s="2" t="s">
        <v>6</v>
      </c>
      <c r="C50" s="2" t="s">
        <v>7</v>
      </c>
      <c r="D50" s="2" t="s">
        <v>8</v>
      </c>
      <c r="E50" s="2" t="s">
        <v>9</v>
      </c>
      <c r="F50" s="9" t="s">
        <v>15</v>
      </c>
      <c r="G50" s="9" t="str">
        <f t="shared" si="1"/>
        <v>Household</v>
      </c>
      <c r="H50" s="25">
        <v>6.31</v>
      </c>
      <c r="I50" s="6">
        <v>2</v>
      </c>
      <c r="J50" s="25">
        <v>0.88</v>
      </c>
      <c r="K50" s="25">
        <v>13.5</v>
      </c>
      <c r="L50" s="9">
        <v>0</v>
      </c>
      <c r="M50" s="39" t="str">
        <f t="shared" si="0"/>
        <v>Normal Transaction</v>
      </c>
    </row>
    <row r="51" spans="1:13" x14ac:dyDescent="0.35">
      <c r="A51" s="27">
        <v>50</v>
      </c>
      <c r="B51" s="2" t="s">
        <v>0</v>
      </c>
      <c r="C51" s="2" t="s">
        <v>14</v>
      </c>
      <c r="D51" s="2" t="s">
        <v>8</v>
      </c>
      <c r="E51" s="2" t="s">
        <v>9</v>
      </c>
      <c r="F51" s="9" t="s">
        <v>12</v>
      </c>
      <c r="G51" s="9" t="str">
        <f t="shared" si="1"/>
        <v>Fruits</v>
      </c>
      <c r="H51" s="25">
        <v>16.5</v>
      </c>
      <c r="I51" s="6">
        <v>19</v>
      </c>
      <c r="J51" s="25">
        <v>21.95</v>
      </c>
      <c r="K51" s="25">
        <v>335.45</v>
      </c>
      <c r="L51" s="9">
        <v>0</v>
      </c>
      <c r="M51" s="39" t="str">
        <f t="shared" si="0"/>
        <v>Normal Transaction</v>
      </c>
    </row>
    <row r="52" spans="1:13" x14ac:dyDescent="0.35">
      <c r="A52" s="27">
        <v>51</v>
      </c>
      <c r="B52" s="2" t="s">
        <v>0</v>
      </c>
      <c r="C52" s="2" t="s">
        <v>14</v>
      </c>
      <c r="D52" s="2" t="s">
        <v>8</v>
      </c>
      <c r="E52" s="2" t="s">
        <v>3</v>
      </c>
      <c r="F52" s="9" t="s">
        <v>15</v>
      </c>
      <c r="G52" s="9" t="str">
        <f t="shared" si="1"/>
        <v>Household</v>
      </c>
      <c r="H52" s="25">
        <v>17.02</v>
      </c>
      <c r="I52" s="6">
        <v>19</v>
      </c>
      <c r="J52" s="25">
        <v>22.64</v>
      </c>
      <c r="K52" s="25">
        <v>346.02</v>
      </c>
      <c r="L52" s="9">
        <v>0</v>
      </c>
      <c r="M52" s="39" t="str">
        <f t="shared" si="0"/>
        <v>Normal Transaction</v>
      </c>
    </row>
    <row r="53" spans="1:13" x14ac:dyDescent="0.35">
      <c r="A53" s="27">
        <v>52</v>
      </c>
      <c r="B53" s="2" t="s">
        <v>0</v>
      </c>
      <c r="C53" s="2" t="s">
        <v>14</v>
      </c>
      <c r="D53" s="2" t="s">
        <v>2</v>
      </c>
      <c r="E53" s="2" t="s">
        <v>3</v>
      </c>
      <c r="F53" s="9" t="s">
        <v>17</v>
      </c>
      <c r="G53" s="9" t="str">
        <f t="shared" si="1"/>
        <v>Beverages</v>
      </c>
      <c r="H53" s="25">
        <v>11.16</v>
      </c>
      <c r="I53" s="6">
        <v>5</v>
      </c>
      <c r="J53" s="25">
        <v>3.91</v>
      </c>
      <c r="K53" s="25">
        <v>59.71</v>
      </c>
      <c r="L53" s="9">
        <v>5</v>
      </c>
      <c r="M53" s="39" t="str">
        <f t="shared" si="0"/>
        <v>Normal Transaction</v>
      </c>
    </row>
    <row r="54" spans="1:13" x14ac:dyDescent="0.35">
      <c r="A54" s="27">
        <v>53</v>
      </c>
      <c r="B54" s="2" t="s">
        <v>6</v>
      </c>
      <c r="C54" s="2" t="s">
        <v>7</v>
      </c>
      <c r="D54" s="2" t="s">
        <v>8</v>
      </c>
      <c r="E54" s="2" t="s">
        <v>9</v>
      </c>
      <c r="F54" s="9" t="s">
        <v>17</v>
      </c>
      <c r="G54" s="9" t="str">
        <f t="shared" si="1"/>
        <v>Beverages</v>
      </c>
      <c r="H54" s="25">
        <v>19.059999999999999</v>
      </c>
      <c r="I54" s="6">
        <v>1</v>
      </c>
      <c r="J54" s="25">
        <v>1.33</v>
      </c>
      <c r="K54" s="25">
        <v>20.39</v>
      </c>
      <c r="L54" s="9">
        <v>0</v>
      </c>
      <c r="M54" s="39" t="str">
        <f t="shared" si="0"/>
        <v>Normal Transaction</v>
      </c>
    </row>
    <row r="55" spans="1:13" x14ac:dyDescent="0.35">
      <c r="A55" s="27">
        <v>54</v>
      </c>
      <c r="B55" s="2" t="s">
        <v>31</v>
      </c>
      <c r="C55" s="2" t="s">
        <v>1</v>
      </c>
      <c r="D55" s="2" t="s">
        <v>8</v>
      </c>
      <c r="E55" s="2" t="s">
        <v>9</v>
      </c>
      <c r="F55" s="9" t="s">
        <v>17</v>
      </c>
      <c r="G55" s="9" t="str">
        <f t="shared" si="1"/>
        <v>Beverages</v>
      </c>
      <c r="H55" s="25">
        <v>4.68</v>
      </c>
      <c r="I55" s="6">
        <v>14</v>
      </c>
      <c r="J55" s="25">
        <v>4.59</v>
      </c>
      <c r="K55" s="25">
        <v>70.11</v>
      </c>
      <c r="L55" s="9">
        <v>0</v>
      </c>
      <c r="M55" s="39" t="str">
        <f t="shared" si="0"/>
        <v>Normal Transaction</v>
      </c>
    </row>
    <row r="56" spans="1:13" x14ac:dyDescent="0.35">
      <c r="A56" s="27">
        <v>55</v>
      </c>
      <c r="B56" s="2" t="s">
        <v>6</v>
      </c>
      <c r="C56" s="2" t="s">
        <v>7</v>
      </c>
      <c r="D56" s="2" t="s">
        <v>2</v>
      </c>
      <c r="E56" s="2" t="s">
        <v>3</v>
      </c>
      <c r="F56" s="9" t="s">
        <v>10</v>
      </c>
      <c r="G56" s="9" t="str">
        <f t="shared" si="1"/>
        <v>Stationery</v>
      </c>
      <c r="H56" s="25">
        <v>15.57</v>
      </c>
      <c r="I56" s="6">
        <v>13</v>
      </c>
      <c r="J56" s="25">
        <v>14.17</v>
      </c>
      <c r="K56" s="25">
        <v>216.58</v>
      </c>
      <c r="L56" s="9">
        <v>21</v>
      </c>
      <c r="M56" s="39" t="str">
        <f t="shared" si="0"/>
        <v>Normal Transaction</v>
      </c>
    </row>
    <row r="57" spans="1:13" x14ac:dyDescent="0.35">
      <c r="A57" s="27">
        <v>56</v>
      </c>
      <c r="B57" s="2" t="s">
        <v>0</v>
      </c>
      <c r="C57" s="2" t="s">
        <v>14</v>
      </c>
      <c r="D57" s="2" t="s">
        <v>2</v>
      </c>
      <c r="E57" s="2" t="s">
        <v>3</v>
      </c>
      <c r="F57" s="9" t="s">
        <v>4</v>
      </c>
      <c r="G57" s="9" t="str">
        <f t="shared" si="1"/>
        <v>Personal Care</v>
      </c>
      <c r="H57" s="25">
        <v>19.86</v>
      </c>
      <c r="I57" s="6">
        <v>10</v>
      </c>
      <c r="J57" s="25">
        <v>13.9</v>
      </c>
      <c r="K57" s="25">
        <v>212.5</v>
      </c>
      <c r="L57" s="9">
        <v>21</v>
      </c>
      <c r="M57" s="39" t="str">
        <f t="shared" si="0"/>
        <v>Normal Transaction</v>
      </c>
    </row>
    <row r="58" spans="1:13" x14ac:dyDescent="0.35">
      <c r="A58" s="27">
        <v>57</v>
      </c>
      <c r="B58" s="2" t="s">
        <v>0</v>
      </c>
      <c r="C58" s="2" t="s">
        <v>14</v>
      </c>
      <c r="D58" s="2" t="s">
        <v>2</v>
      </c>
      <c r="E58" s="2" t="s">
        <v>9</v>
      </c>
      <c r="F58" s="9" t="s">
        <v>17</v>
      </c>
      <c r="G58" s="9" t="str">
        <f t="shared" si="1"/>
        <v>Beverages</v>
      </c>
      <c r="H58" s="25">
        <v>20.41</v>
      </c>
      <c r="I58" s="6">
        <v>19</v>
      </c>
      <c r="J58" s="25">
        <v>27.15</v>
      </c>
      <c r="K58" s="25">
        <v>414.94</v>
      </c>
      <c r="L58" s="9">
        <v>41</v>
      </c>
      <c r="M58" s="39" t="str">
        <f t="shared" si="0"/>
        <v>Outlier (Extreme Spend)</v>
      </c>
    </row>
    <row r="59" spans="1:13" x14ac:dyDescent="0.35">
      <c r="A59" s="27">
        <v>58</v>
      </c>
      <c r="B59" s="2" t="s">
        <v>0</v>
      </c>
      <c r="C59" s="2" t="s">
        <v>14</v>
      </c>
      <c r="D59" s="2" t="s">
        <v>8</v>
      </c>
      <c r="E59" s="2" t="s">
        <v>3</v>
      </c>
      <c r="F59" s="9" t="s">
        <v>10</v>
      </c>
      <c r="G59" s="9" t="str">
        <f t="shared" si="1"/>
        <v>Stationery</v>
      </c>
      <c r="H59" s="25">
        <v>19.96</v>
      </c>
      <c r="I59" s="6">
        <v>20</v>
      </c>
      <c r="J59" s="25">
        <v>27.94</v>
      </c>
      <c r="K59" s="25">
        <v>427.14</v>
      </c>
      <c r="L59" s="9">
        <v>0</v>
      </c>
      <c r="M59" s="39" t="str">
        <f t="shared" si="0"/>
        <v>Outlier (Extreme Spend)</v>
      </c>
    </row>
    <row r="60" spans="1:13" x14ac:dyDescent="0.35">
      <c r="A60" s="27">
        <v>59</v>
      </c>
      <c r="B60" s="2" t="s">
        <v>0</v>
      </c>
      <c r="C60" s="2" t="s">
        <v>14</v>
      </c>
      <c r="D60" s="2" t="s">
        <v>2</v>
      </c>
      <c r="E60" s="2" t="s">
        <v>3</v>
      </c>
      <c r="F60" s="9" t="s">
        <v>15</v>
      </c>
      <c r="G60" s="9" t="str">
        <f t="shared" si="1"/>
        <v>Household</v>
      </c>
      <c r="H60" s="25">
        <v>15.48</v>
      </c>
      <c r="I60" s="6">
        <v>20</v>
      </c>
      <c r="J60" s="25">
        <v>21.67</v>
      </c>
      <c r="K60" s="25">
        <v>331.27</v>
      </c>
      <c r="L60" s="9">
        <v>33</v>
      </c>
      <c r="M60" s="39" t="str">
        <f t="shared" si="0"/>
        <v>Normal Transaction</v>
      </c>
    </row>
    <row r="61" spans="1:13" x14ac:dyDescent="0.35">
      <c r="A61" s="27">
        <v>60</v>
      </c>
      <c r="B61" s="2" t="s">
        <v>0</v>
      </c>
      <c r="C61" s="2" t="s">
        <v>14</v>
      </c>
      <c r="D61" s="2" t="s">
        <v>2</v>
      </c>
      <c r="E61" s="2" t="s">
        <v>3</v>
      </c>
      <c r="F61" s="9" t="s">
        <v>10</v>
      </c>
      <c r="G61" s="9" t="str">
        <f t="shared" si="1"/>
        <v>Stationery</v>
      </c>
      <c r="H61" s="25">
        <v>13.99</v>
      </c>
      <c r="I61" s="6">
        <v>4</v>
      </c>
      <c r="J61" s="25">
        <v>3.92</v>
      </c>
      <c r="K61" s="25">
        <v>59.88</v>
      </c>
      <c r="L61" s="9">
        <v>5</v>
      </c>
      <c r="M61" s="39" t="str">
        <f t="shared" si="0"/>
        <v>Normal Transaction</v>
      </c>
    </row>
    <row r="62" spans="1:13" x14ac:dyDescent="0.35">
      <c r="A62" s="27">
        <v>61</v>
      </c>
      <c r="B62" s="2" t="s">
        <v>31</v>
      </c>
      <c r="C62" s="2" t="s">
        <v>1</v>
      </c>
      <c r="D62" s="2" t="s">
        <v>2</v>
      </c>
      <c r="E62" s="2" t="s">
        <v>3</v>
      </c>
      <c r="F62" s="9" t="s">
        <v>15</v>
      </c>
      <c r="G62" s="9" t="str">
        <f t="shared" si="1"/>
        <v>Household</v>
      </c>
      <c r="H62" s="25">
        <v>9.39</v>
      </c>
      <c r="I62" s="6">
        <v>2</v>
      </c>
      <c r="J62" s="25">
        <v>1.31</v>
      </c>
      <c r="K62" s="25">
        <v>20.09</v>
      </c>
      <c r="L62" s="9">
        <v>2</v>
      </c>
      <c r="M62" s="39" t="str">
        <f t="shared" si="0"/>
        <v>Normal Transaction</v>
      </c>
    </row>
    <row r="63" spans="1:13" x14ac:dyDescent="0.35">
      <c r="A63" s="27">
        <v>62</v>
      </c>
      <c r="B63" s="2" t="s">
        <v>0</v>
      </c>
      <c r="C63" s="2" t="s">
        <v>14</v>
      </c>
      <c r="D63" s="2" t="s">
        <v>2</v>
      </c>
      <c r="E63" s="2" t="s">
        <v>3</v>
      </c>
      <c r="F63" s="9" t="s">
        <v>17</v>
      </c>
      <c r="G63" s="9" t="str">
        <f t="shared" si="1"/>
        <v>Beverages</v>
      </c>
      <c r="H63" s="25">
        <v>19.190000000000001</v>
      </c>
      <c r="I63" s="6">
        <v>14</v>
      </c>
      <c r="J63" s="25">
        <v>18.809999999999999</v>
      </c>
      <c r="K63" s="25">
        <v>287.47000000000003</v>
      </c>
      <c r="L63" s="9">
        <v>28</v>
      </c>
      <c r="M63" s="39" t="str">
        <f t="shared" si="0"/>
        <v>Normal Transaction</v>
      </c>
    </row>
    <row r="64" spans="1:13" x14ac:dyDescent="0.35">
      <c r="A64" s="27">
        <v>63</v>
      </c>
      <c r="B64" s="2" t="s">
        <v>31</v>
      </c>
      <c r="C64" s="2" t="s">
        <v>1</v>
      </c>
      <c r="D64" s="2" t="s">
        <v>2</v>
      </c>
      <c r="E64" s="2" t="s">
        <v>3</v>
      </c>
      <c r="F64" s="9" t="s">
        <v>10</v>
      </c>
      <c r="G64" s="9" t="str">
        <f t="shared" si="1"/>
        <v>Stationery</v>
      </c>
      <c r="H64" s="25">
        <v>12.73</v>
      </c>
      <c r="I64" s="6">
        <v>19</v>
      </c>
      <c r="J64" s="25">
        <v>16.93</v>
      </c>
      <c r="K64" s="25">
        <v>258.8</v>
      </c>
      <c r="L64" s="9">
        <v>25</v>
      </c>
      <c r="M64" s="39" t="str">
        <f t="shared" si="0"/>
        <v>Normal Transaction</v>
      </c>
    </row>
    <row r="65" spans="1:13" x14ac:dyDescent="0.35">
      <c r="A65" s="27">
        <v>64</v>
      </c>
      <c r="B65" s="2" t="s">
        <v>0</v>
      </c>
      <c r="C65" s="2" t="s">
        <v>14</v>
      </c>
      <c r="D65" s="2" t="s">
        <v>2</v>
      </c>
      <c r="E65" s="2" t="s">
        <v>9</v>
      </c>
      <c r="F65" s="9" t="s">
        <v>15</v>
      </c>
      <c r="G65" s="9" t="str">
        <f t="shared" si="1"/>
        <v>Household</v>
      </c>
      <c r="H65" s="25">
        <v>11.33</v>
      </c>
      <c r="I65" s="6">
        <v>10</v>
      </c>
      <c r="J65" s="25">
        <v>7.93</v>
      </c>
      <c r="K65" s="25">
        <v>121.23</v>
      </c>
      <c r="L65" s="9">
        <v>12</v>
      </c>
      <c r="M65" s="39" t="str">
        <f t="shared" si="0"/>
        <v>Normal Transaction</v>
      </c>
    </row>
    <row r="66" spans="1:13" x14ac:dyDescent="0.35">
      <c r="A66" s="27">
        <v>65</v>
      </c>
      <c r="B66" s="2" t="s">
        <v>31</v>
      </c>
      <c r="C66" s="2" t="s">
        <v>1</v>
      </c>
      <c r="D66" s="2" t="s">
        <v>8</v>
      </c>
      <c r="E66" s="2" t="s">
        <v>3</v>
      </c>
      <c r="F66" s="9" t="s">
        <v>17</v>
      </c>
      <c r="G66" s="9" t="str">
        <f t="shared" si="1"/>
        <v>Beverages</v>
      </c>
      <c r="H66" s="25">
        <v>8.7799999999999994</v>
      </c>
      <c r="I66" s="6">
        <v>12</v>
      </c>
      <c r="J66" s="25">
        <v>7.38</v>
      </c>
      <c r="K66" s="25">
        <v>112.74</v>
      </c>
      <c r="L66" s="9">
        <v>0</v>
      </c>
      <c r="M66" s="39" t="str">
        <f t="shared" ref="M66:M129" si="2">IF(K66 &gt; 382.93, "Outlier (Extreme Spend)", "Normal Transaction")</f>
        <v>Normal Transaction</v>
      </c>
    </row>
    <row r="67" spans="1:13" x14ac:dyDescent="0.35">
      <c r="A67" s="27">
        <v>66</v>
      </c>
      <c r="B67" s="2" t="s">
        <v>31</v>
      </c>
      <c r="C67" s="2" t="s">
        <v>1</v>
      </c>
      <c r="D67" s="2" t="s">
        <v>2</v>
      </c>
      <c r="E67" s="2" t="s">
        <v>3</v>
      </c>
      <c r="F67" s="9" t="s">
        <v>10</v>
      </c>
      <c r="G67" s="9" t="str">
        <f t="shared" ref="G67:G130" si="3">_xlfn.XLOOKUP(F67,$Q$2:$Q$6,$R$2:$R$6,"Unknown")</f>
        <v>Stationery</v>
      </c>
      <c r="H67" s="25">
        <v>10.25</v>
      </c>
      <c r="I67" s="6">
        <v>2</v>
      </c>
      <c r="J67" s="25">
        <v>1.44</v>
      </c>
      <c r="K67" s="25">
        <v>21.94</v>
      </c>
      <c r="L67" s="9">
        <v>2</v>
      </c>
      <c r="M67" s="39" t="str">
        <f t="shared" si="2"/>
        <v>Normal Transaction</v>
      </c>
    </row>
    <row r="68" spans="1:13" x14ac:dyDescent="0.35">
      <c r="A68" s="27">
        <v>67</v>
      </c>
      <c r="B68" s="2" t="s">
        <v>6</v>
      </c>
      <c r="C68" s="2" t="s">
        <v>7</v>
      </c>
      <c r="D68" s="2" t="s">
        <v>2</v>
      </c>
      <c r="E68" s="2" t="s">
        <v>3</v>
      </c>
      <c r="F68" s="9" t="s">
        <v>10</v>
      </c>
      <c r="G68" s="9" t="str">
        <f t="shared" si="3"/>
        <v>Stationery</v>
      </c>
      <c r="H68" s="25">
        <v>10.47</v>
      </c>
      <c r="I68" s="6">
        <v>8</v>
      </c>
      <c r="J68" s="25">
        <v>5.86</v>
      </c>
      <c r="K68" s="25">
        <v>89.62</v>
      </c>
      <c r="L68" s="9">
        <v>8</v>
      </c>
      <c r="M68" s="39" t="str">
        <f t="shared" si="2"/>
        <v>Normal Transaction</v>
      </c>
    </row>
    <row r="69" spans="1:13" x14ac:dyDescent="0.35">
      <c r="A69" s="27">
        <v>68</v>
      </c>
      <c r="B69" s="2" t="s">
        <v>31</v>
      </c>
      <c r="C69" s="2" t="s">
        <v>1</v>
      </c>
      <c r="D69" s="2" t="s">
        <v>8</v>
      </c>
      <c r="E69" s="2" t="s">
        <v>9</v>
      </c>
      <c r="F69" s="9" t="s">
        <v>15</v>
      </c>
      <c r="G69" s="9" t="str">
        <f t="shared" si="3"/>
        <v>Household</v>
      </c>
      <c r="H69" s="25">
        <v>6.75</v>
      </c>
      <c r="I69" s="6">
        <v>1</v>
      </c>
      <c r="J69" s="25">
        <v>0.47</v>
      </c>
      <c r="K69" s="25">
        <v>7.22</v>
      </c>
      <c r="L69" s="9">
        <v>0</v>
      </c>
      <c r="M69" s="39" t="str">
        <f t="shared" si="2"/>
        <v>Normal Transaction</v>
      </c>
    </row>
    <row r="70" spans="1:13" x14ac:dyDescent="0.35">
      <c r="A70" s="27">
        <v>69</v>
      </c>
      <c r="B70" s="2" t="s">
        <v>0</v>
      </c>
      <c r="C70" s="2" t="s">
        <v>14</v>
      </c>
      <c r="D70" s="2" t="s">
        <v>2</v>
      </c>
      <c r="E70" s="2" t="s">
        <v>3</v>
      </c>
      <c r="F70" s="9" t="s">
        <v>12</v>
      </c>
      <c r="G70" s="9" t="str">
        <f t="shared" si="3"/>
        <v>Fruits</v>
      </c>
      <c r="H70" s="25">
        <v>1.17</v>
      </c>
      <c r="I70" s="6">
        <v>16</v>
      </c>
      <c r="J70" s="25">
        <v>1.31</v>
      </c>
      <c r="K70" s="25">
        <v>20.03</v>
      </c>
      <c r="L70" s="9">
        <v>2</v>
      </c>
      <c r="M70" s="39" t="str">
        <f t="shared" si="2"/>
        <v>Normal Transaction</v>
      </c>
    </row>
    <row r="71" spans="1:13" x14ac:dyDescent="0.35">
      <c r="A71" s="27">
        <v>70</v>
      </c>
      <c r="B71" s="2" t="s">
        <v>6</v>
      </c>
      <c r="C71" s="2" t="s">
        <v>7</v>
      </c>
      <c r="D71" s="2" t="s">
        <v>8</v>
      </c>
      <c r="E71" s="2" t="s">
        <v>9</v>
      </c>
      <c r="F71" s="9" t="s">
        <v>4</v>
      </c>
      <c r="G71" s="9" t="str">
        <f t="shared" si="3"/>
        <v>Personal Care</v>
      </c>
      <c r="H71" s="25">
        <v>2.77</v>
      </c>
      <c r="I71" s="6">
        <v>14</v>
      </c>
      <c r="J71" s="25">
        <v>2.71</v>
      </c>
      <c r="K71" s="25">
        <v>41.49</v>
      </c>
      <c r="L71" s="9">
        <v>0</v>
      </c>
      <c r="M71" s="39" t="str">
        <f t="shared" si="2"/>
        <v>Normal Transaction</v>
      </c>
    </row>
    <row r="72" spans="1:13" x14ac:dyDescent="0.35">
      <c r="A72" s="27">
        <v>71</v>
      </c>
      <c r="B72" s="2" t="s">
        <v>0</v>
      </c>
      <c r="C72" s="2" t="s">
        <v>14</v>
      </c>
      <c r="D72" s="2" t="s">
        <v>8</v>
      </c>
      <c r="E72" s="2" t="s">
        <v>3</v>
      </c>
      <c r="F72" s="9" t="s">
        <v>17</v>
      </c>
      <c r="G72" s="9" t="str">
        <f t="shared" si="3"/>
        <v>Beverages</v>
      </c>
      <c r="H72" s="25">
        <v>12.83</v>
      </c>
      <c r="I72" s="6">
        <v>2</v>
      </c>
      <c r="J72" s="25">
        <v>1.8</v>
      </c>
      <c r="K72" s="25">
        <v>27.46</v>
      </c>
      <c r="L72" s="9">
        <v>0</v>
      </c>
      <c r="M72" s="39" t="str">
        <f t="shared" si="2"/>
        <v>Normal Transaction</v>
      </c>
    </row>
    <row r="73" spans="1:13" x14ac:dyDescent="0.35">
      <c r="A73" s="27">
        <v>72</v>
      </c>
      <c r="B73" s="2" t="s">
        <v>31</v>
      </c>
      <c r="C73" s="2" t="s">
        <v>1</v>
      </c>
      <c r="D73" s="2" t="s">
        <v>8</v>
      </c>
      <c r="E73" s="2" t="s">
        <v>9</v>
      </c>
      <c r="F73" s="9" t="s">
        <v>12</v>
      </c>
      <c r="G73" s="9" t="str">
        <f t="shared" si="3"/>
        <v>Fruits</v>
      </c>
      <c r="H73" s="25">
        <v>14.21</v>
      </c>
      <c r="I73" s="6">
        <v>11</v>
      </c>
      <c r="J73" s="25">
        <v>10.94</v>
      </c>
      <c r="K73" s="25">
        <v>167.25</v>
      </c>
      <c r="L73" s="9">
        <v>0</v>
      </c>
      <c r="M73" s="39" t="str">
        <f t="shared" si="2"/>
        <v>Normal Transaction</v>
      </c>
    </row>
    <row r="74" spans="1:13" x14ac:dyDescent="0.35">
      <c r="A74" s="27">
        <v>73</v>
      </c>
      <c r="B74" s="2" t="s">
        <v>0</v>
      </c>
      <c r="C74" s="2" t="s">
        <v>14</v>
      </c>
      <c r="D74" s="2" t="s">
        <v>8</v>
      </c>
      <c r="E74" s="2" t="s">
        <v>3</v>
      </c>
      <c r="F74" s="9" t="s">
        <v>15</v>
      </c>
      <c r="G74" s="9" t="str">
        <f t="shared" si="3"/>
        <v>Household</v>
      </c>
      <c r="H74" s="25">
        <v>7.27</v>
      </c>
      <c r="I74" s="6">
        <v>20</v>
      </c>
      <c r="J74" s="25">
        <v>10.18</v>
      </c>
      <c r="K74" s="25">
        <v>155.58000000000001</v>
      </c>
      <c r="L74" s="9">
        <v>0</v>
      </c>
      <c r="M74" s="39" t="str">
        <f t="shared" si="2"/>
        <v>Normal Transaction</v>
      </c>
    </row>
    <row r="75" spans="1:13" x14ac:dyDescent="0.35">
      <c r="A75" s="27">
        <v>74</v>
      </c>
      <c r="B75" s="2" t="s">
        <v>31</v>
      </c>
      <c r="C75" s="2" t="s">
        <v>1</v>
      </c>
      <c r="D75" s="2" t="s">
        <v>8</v>
      </c>
      <c r="E75" s="2" t="s">
        <v>9</v>
      </c>
      <c r="F75" s="9" t="s">
        <v>4</v>
      </c>
      <c r="G75" s="9" t="str">
        <f t="shared" si="3"/>
        <v>Personal Care</v>
      </c>
      <c r="H75" s="25">
        <v>20.27</v>
      </c>
      <c r="I75" s="6">
        <v>2</v>
      </c>
      <c r="J75" s="25">
        <v>2.84</v>
      </c>
      <c r="K75" s="25">
        <v>43.38</v>
      </c>
      <c r="L75" s="9">
        <v>0</v>
      </c>
      <c r="M75" s="39" t="str">
        <f t="shared" si="2"/>
        <v>Normal Transaction</v>
      </c>
    </row>
    <row r="76" spans="1:13" x14ac:dyDescent="0.35">
      <c r="A76" s="27">
        <v>75</v>
      </c>
      <c r="B76" s="2" t="s">
        <v>31</v>
      </c>
      <c r="C76" s="2" t="s">
        <v>1</v>
      </c>
      <c r="D76" s="2" t="s">
        <v>8</v>
      </c>
      <c r="E76" s="2" t="s">
        <v>3</v>
      </c>
      <c r="F76" s="9" t="s">
        <v>17</v>
      </c>
      <c r="G76" s="9" t="str">
        <f t="shared" si="3"/>
        <v>Beverages</v>
      </c>
      <c r="H76" s="25">
        <v>8.6199999999999992</v>
      </c>
      <c r="I76" s="6">
        <v>11</v>
      </c>
      <c r="J76" s="25">
        <v>6.64</v>
      </c>
      <c r="K76" s="25">
        <v>101.46</v>
      </c>
      <c r="L76" s="9">
        <v>0</v>
      </c>
      <c r="M76" s="39" t="str">
        <f t="shared" si="2"/>
        <v>Normal Transaction</v>
      </c>
    </row>
    <row r="77" spans="1:13" x14ac:dyDescent="0.35">
      <c r="A77" s="27">
        <v>76</v>
      </c>
      <c r="B77" s="2" t="s">
        <v>31</v>
      </c>
      <c r="C77" s="2" t="s">
        <v>1</v>
      </c>
      <c r="D77" s="2" t="s">
        <v>8</v>
      </c>
      <c r="E77" s="2" t="s">
        <v>3</v>
      </c>
      <c r="F77" s="9" t="s">
        <v>4</v>
      </c>
      <c r="G77" s="9" t="str">
        <f t="shared" si="3"/>
        <v>Personal Care</v>
      </c>
      <c r="H77" s="25">
        <v>19.14</v>
      </c>
      <c r="I77" s="6">
        <v>8</v>
      </c>
      <c r="J77" s="25">
        <v>10.72</v>
      </c>
      <c r="K77" s="25">
        <v>163.84</v>
      </c>
      <c r="L77" s="9">
        <v>0</v>
      </c>
      <c r="M77" s="39" t="str">
        <f t="shared" si="2"/>
        <v>Normal Transaction</v>
      </c>
    </row>
    <row r="78" spans="1:13" x14ac:dyDescent="0.35">
      <c r="A78" s="27">
        <v>77</v>
      </c>
      <c r="B78" s="2" t="s">
        <v>6</v>
      </c>
      <c r="C78" s="2" t="s">
        <v>7</v>
      </c>
      <c r="D78" s="2" t="s">
        <v>8</v>
      </c>
      <c r="E78" s="2" t="s">
        <v>9</v>
      </c>
      <c r="F78" s="9" t="s">
        <v>17</v>
      </c>
      <c r="G78" s="9" t="str">
        <f t="shared" si="3"/>
        <v>Beverages</v>
      </c>
      <c r="H78" s="25">
        <v>10.16</v>
      </c>
      <c r="I78" s="6">
        <v>10</v>
      </c>
      <c r="J78" s="25">
        <v>7.11</v>
      </c>
      <c r="K78" s="25">
        <v>108.71</v>
      </c>
      <c r="L78" s="9">
        <v>0</v>
      </c>
      <c r="M78" s="39" t="str">
        <f t="shared" si="2"/>
        <v>Normal Transaction</v>
      </c>
    </row>
    <row r="79" spans="1:13" x14ac:dyDescent="0.35">
      <c r="A79" s="27">
        <v>78</v>
      </c>
      <c r="B79" s="2" t="s">
        <v>0</v>
      </c>
      <c r="C79" s="2" t="s">
        <v>14</v>
      </c>
      <c r="D79" s="2" t="s">
        <v>8</v>
      </c>
      <c r="E79" s="2" t="s">
        <v>3</v>
      </c>
      <c r="F79" s="9" t="s">
        <v>12</v>
      </c>
      <c r="G79" s="9" t="str">
        <f t="shared" si="3"/>
        <v>Fruits</v>
      </c>
      <c r="H79" s="25">
        <v>6.73</v>
      </c>
      <c r="I79" s="6">
        <v>20</v>
      </c>
      <c r="J79" s="25">
        <v>9.42</v>
      </c>
      <c r="K79" s="25">
        <v>144.02000000000001</v>
      </c>
      <c r="L79" s="9">
        <v>0</v>
      </c>
      <c r="M79" s="39" t="str">
        <f t="shared" si="2"/>
        <v>Normal Transaction</v>
      </c>
    </row>
    <row r="80" spans="1:13" x14ac:dyDescent="0.35">
      <c r="A80" s="27">
        <v>79</v>
      </c>
      <c r="B80" s="2" t="s">
        <v>6</v>
      </c>
      <c r="C80" s="2" t="s">
        <v>7</v>
      </c>
      <c r="D80" s="2" t="s">
        <v>8</v>
      </c>
      <c r="E80" s="2" t="s">
        <v>9</v>
      </c>
      <c r="F80" s="9" t="s">
        <v>10</v>
      </c>
      <c r="G80" s="9" t="str">
        <f t="shared" si="3"/>
        <v>Stationery</v>
      </c>
      <c r="H80" s="25">
        <v>14.18</v>
      </c>
      <c r="I80" s="6">
        <v>11</v>
      </c>
      <c r="J80" s="25">
        <v>10.92</v>
      </c>
      <c r="K80" s="25">
        <v>166.9</v>
      </c>
      <c r="L80" s="9">
        <v>0</v>
      </c>
      <c r="M80" s="39" t="str">
        <f t="shared" si="2"/>
        <v>Normal Transaction</v>
      </c>
    </row>
    <row r="81" spans="1:13" x14ac:dyDescent="0.35">
      <c r="A81" s="27">
        <v>80</v>
      </c>
      <c r="B81" s="2" t="s">
        <v>31</v>
      </c>
      <c r="C81" s="2" t="s">
        <v>1</v>
      </c>
      <c r="D81" s="2" t="s">
        <v>2</v>
      </c>
      <c r="E81" s="2" t="s">
        <v>3</v>
      </c>
      <c r="F81" s="9" t="s">
        <v>10</v>
      </c>
      <c r="G81" s="9" t="str">
        <f t="shared" si="3"/>
        <v>Stationery</v>
      </c>
      <c r="H81" s="25">
        <v>16.600000000000001</v>
      </c>
      <c r="I81" s="6">
        <v>16</v>
      </c>
      <c r="J81" s="25">
        <v>18.59</v>
      </c>
      <c r="K81" s="25">
        <v>284.19</v>
      </c>
      <c r="L81" s="9">
        <v>28</v>
      </c>
      <c r="M81" s="39" t="str">
        <f t="shared" si="2"/>
        <v>Normal Transaction</v>
      </c>
    </row>
    <row r="82" spans="1:13" x14ac:dyDescent="0.35">
      <c r="A82" s="27">
        <v>81</v>
      </c>
      <c r="B82" s="2" t="s">
        <v>0</v>
      </c>
      <c r="C82" s="2" t="s">
        <v>14</v>
      </c>
      <c r="D82" s="2" t="s">
        <v>8</v>
      </c>
      <c r="E82" s="2" t="s">
        <v>9</v>
      </c>
      <c r="F82" s="9" t="s">
        <v>17</v>
      </c>
      <c r="G82" s="9" t="str">
        <f t="shared" si="3"/>
        <v>Beverages</v>
      </c>
      <c r="H82" s="25">
        <v>13.36</v>
      </c>
      <c r="I82" s="6">
        <v>20</v>
      </c>
      <c r="J82" s="25">
        <v>18.7</v>
      </c>
      <c r="K82" s="25">
        <v>285.89999999999998</v>
      </c>
      <c r="L82" s="9">
        <v>0</v>
      </c>
      <c r="M82" s="39" t="str">
        <f t="shared" si="2"/>
        <v>Normal Transaction</v>
      </c>
    </row>
    <row r="83" spans="1:13" x14ac:dyDescent="0.35">
      <c r="A83" s="27">
        <v>82</v>
      </c>
      <c r="B83" s="2" t="s">
        <v>0</v>
      </c>
      <c r="C83" s="2" t="s">
        <v>14</v>
      </c>
      <c r="D83" s="2" t="s">
        <v>2</v>
      </c>
      <c r="E83" s="2" t="s">
        <v>3</v>
      </c>
      <c r="F83" s="9" t="s">
        <v>17</v>
      </c>
      <c r="G83" s="9" t="str">
        <f t="shared" si="3"/>
        <v>Beverages</v>
      </c>
      <c r="H83" s="25">
        <v>14.04</v>
      </c>
      <c r="I83" s="6">
        <v>15</v>
      </c>
      <c r="J83" s="25">
        <v>14.74</v>
      </c>
      <c r="K83" s="25">
        <v>225.34</v>
      </c>
      <c r="L83" s="9">
        <v>22</v>
      </c>
      <c r="M83" s="39" t="str">
        <f t="shared" si="2"/>
        <v>Normal Transaction</v>
      </c>
    </row>
    <row r="84" spans="1:13" x14ac:dyDescent="0.35">
      <c r="A84" s="27">
        <v>83</v>
      </c>
      <c r="B84" s="2" t="s">
        <v>6</v>
      </c>
      <c r="C84" s="2" t="s">
        <v>7</v>
      </c>
      <c r="D84" s="2" t="s">
        <v>8</v>
      </c>
      <c r="E84" s="2" t="s">
        <v>3</v>
      </c>
      <c r="F84" s="9" t="s">
        <v>17</v>
      </c>
      <c r="G84" s="9" t="str">
        <f t="shared" si="3"/>
        <v>Beverages</v>
      </c>
      <c r="H84" s="25">
        <v>13.89</v>
      </c>
      <c r="I84" s="6">
        <v>8</v>
      </c>
      <c r="J84" s="25">
        <v>7.78</v>
      </c>
      <c r="K84" s="25">
        <v>118.9</v>
      </c>
      <c r="L84" s="9">
        <v>0</v>
      </c>
      <c r="M84" s="39" t="str">
        <f t="shared" si="2"/>
        <v>Normal Transaction</v>
      </c>
    </row>
    <row r="85" spans="1:13" x14ac:dyDescent="0.35">
      <c r="A85" s="27">
        <v>84</v>
      </c>
      <c r="B85" s="2" t="s">
        <v>31</v>
      </c>
      <c r="C85" s="2" t="s">
        <v>1</v>
      </c>
      <c r="D85" s="2" t="s">
        <v>2</v>
      </c>
      <c r="E85" s="2" t="s">
        <v>9</v>
      </c>
      <c r="F85" s="9" t="s">
        <v>10</v>
      </c>
      <c r="G85" s="9" t="str">
        <f t="shared" si="3"/>
        <v>Stationery</v>
      </c>
      <c r="H85" s="25">
        <v>17.559999999999999</v>
      </c>
      <c r="I85" s="6">
        <v>10</v>
      </c>
      <c r="J85" s="25">
        <v>12.29</v>
      </c>
      <c r="K85" s="25">
        <v>187.89</v>
      </c>
      <c r="L85" s="9">
        <v>18</v>
      </c>
      <c r="M85" s="39" t="str">
        <f t="shared" si="2"/>
        <v>Normal Transaction</v>
      </c>
    </row>
    <row r="86" spans="1:13" x14ac:dyDescent="0.35">
      <c r="A86" s="27">
        <v>85</v>
      </c>
      <c r="B86" s="2" t="s">
        <v>0</v>
      </c>
      <c r="C86" s="2" t="s">
        <v>14</v>
      </c>
      <c r="D86" s="2" t="s">
        <v>8</v>
      </c>
      <c r="E86" s="2" t="s">
        <v>9</v>
      </c>
      <c r="F86" s="9" t="s">
        <v>15</v>
      </c>
      <c r="G86" s="9" t="str">
        <f t="shared" si="3"/>
        <v>Household</v>
      </c>
      <c r="H86" s="25">
        <v>3.79</v>
      </c>
      <c r="I86" s="6">
        <v>13</v>
      </c>
      <c r="J86" s="25">
        <v>3.45</v>
      </c>
      <c r="K86" s="25">
        <v>52.72</v>
      </c>
      <c r="L86" s="9">
        <v>0</v>
      </c>
      <c r="M86" s="39" t="str">
        <f t="shared" si="2"/>
        <v>Normal Transaction</v>
      </c>
    </row>
    <row r="87" spans="1:13" x14ac:dyDescent="0.35">
      <c r="A87" s="27">
        <v>86</v>
      </c>
      <c r="B87" s="2" t="s">
        <v>6</v>
      </c>
      <c r="C87" s="2" t="s">
        <v>7</v>
      </c>
      <c r="D87" s="2" t="s">
        <v>8</v>
      </c>
      <c r="E87" s="2" t="s">
        <v>3</v>
      </c>
      <c r="F87" s="9" t="s">
        <v>17</v>
      </c>
      <c r="G87" s="9" t="str">
        <f t="shared" si="3"/>
        <v>Beverages</v>
      </c>
      <c r="H87" s="25">
        <v>5</v>
      </c>
      <c r="I87" s="6">
        <v>10</v>
      </c>
      <c r="J87" s="25">
        <v>3.5</v>
      </c>
      <c r="K87" s="25">
        <v>53.5</v>
      </c>
      <c r="L87" s="9">
        <v>0</v>
      </c>
      <c r="M87" s="39" t="str">
        <f t="shared" si="2"/>
        <v>Normal Transaction</v>
      </c>
    </row>
    <row r="88" spans="1:13" x14ac:dyDescent="0.35">
      <c r="A88" s="27">
        <v>87</v>
      </c>
      <c r="B88" s="2" t="s">
        <v>0</v>
      </c>
      <c r="C88" s="2" t="s">
        <v>14</v>
      </c>
      <c r="D88" s="2" t="s">
        <v>2</v>
      </c>
      <c r="E88" s="2" t="s">
        <v>9</v>
      </c>
      <c r="F88" s="9" t="s">
        <v>4</v>
      </c>
      <c r="G88" s="9" t="str">
        <f t="shared" si="3"/>
        <v>Personal Care</v>
      </c>
      <c r="H88" s="25">
        <v>2.74</v>
      </c>
      <c r="I88" s="6">
        <v>2</v>
      </c>
      <c r="J88" s="25">
        <v>0.38</v>
      </c>
      <c r="K88" s="25">
        <v>5.86</v>
      </c>
      <c r="L88" s="9">
        <v>0</v>
      </c>
      <c r="M88" s="39" t="str">
        <f t="shared" si="2"/>
        <v>Normal Transaction</v>
      </c>
    </row>
    <row r="89" spans="1:13" x14ac:dyDescent="0.35">
      <c r="A89" s="27">
        <v>88</v>
      </c>
      <c r="B89" s="2" t="s">
        <v>31</v>
      </c>
      <c r="C89" s="2" t="s">
        <v>1</v>
      </c>
      <c r="D89" s="2" t="s">
        <v>8</v>
      </c>
      <c r="E89" s="2" t="s">
        <v>9</v>
      </c>
      <c r="F89" s="9" t="s">
        <v>17</v>
      </c>
      <c r="G89" s="9" t="str">
        <f t="shared" si="3"/>
        <v>Beverages</v>
      </c>
      <c r="H89" s="25">
        <v>13.87</v>
      </c>
      <c r="I89" s="6">
        <v>8</v>
      </c>
      <c r="J89" s="25">
        <v>7.77</v>
      </c>
      <c r="K89" s="25">
        <v>118.73</v>
      </c>
      <c r="L89" s="9">
        <v>0</v>
      </c>
      <c r="M89" s="39" t="str">
        <f t="shared" si="2"/>
        <v>Normal Transaction</v>
      </c>
    </row>
    <row r="90" spans="1:13" x14ac:dyDescent="0.35">
      <c r="A90" s="27">
        <v>89</v>
      </c>
      <c r="B90" s="2" t="s">
        <v>0</v>
      </c>
      <c r="C90" s="2" t="s">
        <v>14</v>
      </c>
      <c r="D90" s="2" t="s">
        <v>8</v>
      </c>
      <c r="E90" s="2" t="s">
        <v>3</v>
      </c>
      <c r="F90" s="9" t="s">
        <v>15</v>
      </c>
      <c r="G90" s="9" t="str">
        <f t="shared" si="3"/>
        <v>Household</v>
      </c>
      <c r="H90" s="25">
        <v>19.61</v>
      </c>
      <c r="I90" s="6">
        <v>2</v>
      </c>
      <c r="J90" s="25">
        <v>2.75</v>
      </c>
      <c r="K90" s="25">
        <v>41.97</v>
      </c>
      <c r="L90" s="9">
        <v>0</v>
      </c>
      <c r="M90" s="39" t="str">
        <f t="shared" si="2"/>
        <v>Normal Transaction</v>
      </c>
    </row>
    <row r="91" spans="1:13" x14ac:dyDescent="0.35">
      <c r="A91" s="27">
        <v>90</v>
      </c>
      <c r="B91" s="2" t="s">
        <v>6</v>
      </c>
      <c r="C91" s="2" t="s">
        <v>7</v>
      </c>
      <c r="D91" s="2" t="s">
        <v>8</v>
      </c>
      <c r="E91" s="2" t="s">
        <v>3</v>
      </c>
      <c r="F91" s="9" t="s">
        <v>10</v>
      </c>
      <c r="G91" s="9" t="str">
        <f t="shared" si="3"/>
        <v>Stationery</v>
      </c>
      <c r="H91" s="25">
        <v>10.71</v>
      </c>
      <c r="I91" s="6">
        <v>10</v>
      </c>
      <c r="J91" s="25">
        <v>7.5</v>
      </c>
      <c r="K91" s="25">
        <v>114.6</v>
      </c>
      <c r="L91" s="9">
        <v>0</v>
      </c>
      <c r="M91" s="39" t="str">
        <f t="shared" si="2"/>
        <v>Normal Transaction</v>
      </c>
    </row>
    <row r="92" spans="1:13" x14ac:dyDescent="0.35">
      <c r="A92" s="27">
        <v>91</v>
      </c>
      <c r="B92" s="2" t="s">
        <v>0</v>
      </c>
      <c r="C92" s="2" t="s">
        <v>14</v>
      </c>
      <c r="D92" s="2" t="s">
        <v>2</v>
      </c>
      <c r="E92" s="2" t="s">
        <v>9</v>
      </c>
      <c r="F92" s="9" t="s">
        <v>17</v>
      </c>
      <c r="G92" s="9" t="str">
        <f t="shared" si="3"/>
        <v>Beverages</v>
      </c>
      <c r="H92" s="25">
        <v>18.57</v>
      </c>
      <c r="I92" s="6">
        <v>3</v>
      </c>
      <c r="J92" s="25">
        <v>3.9</v>
      </c>
      <c r="K92" s="25">
        <v>59.61</v>
      </c>
      <c r="L92" s="9">
        <v>5</v>
      </c>
      <c r="M92" s="39" t="str">
        <f t="shared" si="2"/>
        <v>Normal Transaction</v>
      </c>
    </row>
    <row r="93" spans="1:13" x14ac:dyDescent="0.35">
      <c r="A93" s="27">
        <v>92</v>
      </c>
      <c r="B93" s="2" t="s">
        <v>6</v>
      </c>
      <c r="C93" s="2" t="s">
        <v>7</v>
      </c>
      <c r="D93" s="2" t="s">
        <v>2</v>
      </c>
      <c r="E93" s="2" t="s">
        <v>3</v>
      </c>
      <c r="F93" s="9" t="s">
        <v>10</v>
      </c>
      <c r="G93" s="9" t="str">
        <f t="shared" si="3"/>
        <v>Stationery</v>
      </c>
      <c r="H93" s="25">
        <v>19.100000000000001</v>
      </c>
      <c r="I93" s="6">
        <v>2</v>
      </c>
      <c r="J93" s="25">
        <v>2.67</v>
      </c>
      <c r="K93" s="25">
        <v>40.869999999999997</v>
      </c>
      <c r="L93" s="9">
        <v>4</v>
      </c>
      <c r="M93" s="39" t="str">
        <f t="shared" si="2"/>
        <v>Normal Transaction</v>
      </c>
    </row>
    <row r="94" spans="1:13" x14ac:dyDescent="0.35">
      <c r="A94" s="27">
        <v>93</v>
      </c>
      <c r="B94" s="2" t="s">
        <v>31</v>
      </c>
      <c r="C94" s="2" t="s">
        <v>1</v>
      </c>
      <c r="D94" s="2" t="s">
        <v>2</v>
      </c>
      <c r="E94" s="2" t="s">
        <v>9</v>
      </c>
      <c r="F94" s="9" t="s">
        <v>12</v>
      </c>
      <c r="G94" s="9" t="str">
        <f t="shared" si="3"/>
        <v>Fruits</v>
      </c>
      <c r="H94" s="25">
        <v>10.029999999999999</v>
      </c>
      <c r="I94" s="6">
        <v>12</v>
      </c>
      <c r="J94" s="25">
        <v>8.43</v>
      </c>
      <c r="K94" s="25">
        <v>128.79</v>
      </c>
      <c r="L94" s="9">
        <v>12</v>
      </c>
      <c r="M94" s="39" t="str">
        <f t="shared" si="2"/>
        <v>Normal Transaction</v>
      </c>
    </row>
    <row r="95" spans="1:13" x14ac:dyDescent="0.35">
      <c r="A95" s="27">
        <v>94</v>
      </c>
      <c r="B95" s="2" t="s">
        <v>6</v>
      </c>
      <c r="C95" s="2" t="s">
        <v>7</v>
      </c>
      <c r="D95" s="2" t="s">
        <v>2</v>
      </c>
      <c r="E95" s="2" t="s">
        <v>9</v>
      </c>
      <c r="F95" s="9" t="s">
        <v>17</v>
      </c>
      <c r="G95" s="9" t="str">
        <f t="shared" si="3"/>
        <v>Beverages</v>
      </c>
      <c r="H95" s="25">
        <v>5.65</v>
      </c>
      <c r="I95" s="6">
        <v>9</v>
      </c>
      <c r="J95" s="25">
        <v>3.56</v>
      </c>
      <c r="K95" s="25">
        <v>54.41</v>
      </c>
      <c r="L95" s="9">
        <v>5</v>
      </c>
      <c r="M95" s="39" t="str">
        <f t="shared" si="2"/>
        <v>Normal Transaction</v>
      </c>
    </row>
    <row r="96" spans="1:13" x14ac:dyDescent="0.35">
      <c r="A96" s="27">
        <v>95</v>
      </c>
      <c r="B96" s="2" t="s">
        <v>6</v>
      </c>
      <c r="C96" s="2" t="s">
        <v>7</v>
      </c>
      <c r="D96" s="2" t="s">
        <v>8</v>
      </c>
      <c r="E96" s="2" t="s">
        <v>9</v>
      </c>
      <c r="F96" s="9" t="s">
        <v>4</v>
      </c>
      <c r="G96" s="9" t="str">
        <f t="shared" si="3"/>
        <v>Personal Care</v>
      </c>
      <c r="H96" s="25">
        <v>18.04</v>
      </c>
      <c r="I96" s="6">
        <v>9</v>
      </c>
      <c r="J96" s="25">
        <v>11.37</v>
      </c>
      <c r="K96" s="25">
        <v>173.73</v>
      </c>
      <c r="L96" s="9">
        <v>0</v>
      </c>
      <c r="M96" s="39" t="str">
        <f t="shared" si="2"/>
        <v>Normal Transaction</v>
      </c>
    </row>
    <row r="97" spans="1:13" x14ac:dyDescent="0.35">
      <c r="A97" s="27">
        <v>96</v>
      </c>
      <c r="B97" s="2" t="s">
        <v>31</v>
      </c>
      <c r="C97" s="2" t="s">
        <v>1</v>
      </c>
      <c r="D97" s="2" t="s">
        <v>2</v>
      </c>
      <c r="E97" s="2" t="s">
        <v>3</v>
      </c>
      <c r="F97" s="9" t="s">
        <v>12</v>
      </c>
      <c r="G97" s="9" t="str">
        <f t="shared" si="3"/>
        <v>Fruits</v>
      </c>
      <c r="H97" s="25">
        <v>6.9</v>
      </c>
      <c r="I97" s="6">
        <v>1</v>
      </c>
      <c r="J97" s="25">
        <v>0.48</v>
      </c>
      <c r="K97" s="25">
        <v>7.38</v>
      </c>
      <c r="L97" s="9">
        <v>0</v>
      </c>
      <c r="M97" s="39" t="str">
        <f t="shared" si="2"/>
        <v>Normal Transaction</v>
      </c>
    </row>
    <row r="98" spans="1:13" x14ac:dyDescent="0.35">
      <c r="A98" s="27">
        <v>97</v>
      </c>
      <c r="B98" s="2" t="s">
        <v>6</v>
      </c>
      <c r="C98" s="2" t="s">
        <v>7</v>
      </c>
      <c r="D98" s="2" t="s">
        <v>2</v>
      </c>
      <c r="E98" s="2" t="s">
        <v>3</v>
      </c>
      <c r="F98" s="9" t="s">
        <v>17</v>
      </c>
      <c r="G98" s="9" t="str">
        <f t="shared" si="3"/>
        <v>Beverages</v>
      </c>
      <c r="H98" s="25">
        <v>18.78</v>
      </c>
      <c r="I98" s="6">
        <v>17</v>
      </c>
      <c r="J98" s="25">
        <v>22.35</v>
      </c>
      <c r="K98" s="25">
        <v>341.61</v>
      </c>
      <c r="L98" s="9">
        <v>34</v>
      </c>
      <c r="M98" s="39" t="str">
        <f t="shared" si="2"/>
        <v>Normal Transaction</v>
      </c>
    </row>
    <row r="99" spans="1:13" x14ac:dyDescent="0.35">
      <c r="A99" s="27">
        <v>98</v>
      </c>
      <c r="B99" s="2" t="s">
        <v>6</v>
      </c>
      <c r="C99" s="2" t="s">
        <v>7</v>
      </c>
      <c r="D99" s="2" t="s">
        <v>8</v>
      </c>
      <c r="E99" s="2" t="s">
        <v>3</v>
      </c>
      <c r="F99" s="9" t="s">
        <v>10</v>
      </c>
      <c r="G99" s="9" t="str">
        <f t="shared" si="3"/>
        <v>Stationery</v>
      </c>
      <c r="H99" s="25">
        <v>15.55</v>
      </c>
      <c r="I99" s="6">
        <v>3</v>
      </c>
      <c r="J99" s="25">
        <v>3.27</v>
      </c>
      <c r="K99" s="25">
        <v>49.92</v>
      </c>
      <c r="L99" s="9">
        <v>0</v>
      </c>
      <c r="M99" s="39" t="str">
        <f t="shared" si="2"/>
        <v>Normal Transaction</v>
      </c>
    </row>
    <row r="100" spans="1:13" x14ac:dyDescent="0.35">
      <c r="A100" s="27">
        <v>99</v>
      </c>
      <c r="B100" s="2" t="s">
        <v>31</v>
      </c>
      <c r="C100" s="2" t="s">
        <v>1</v>
      </c>
      <c r="D100" s="2" t="s">
        <v>8</v>
      </c>
      <c r="E100" s="2" t="s">
        <v>3</v>
      </c>
      <c r="F100" s="9" t="s">
        <v>15</v>
      </c>
      <c r="G100" s="9" t="str">
        <f t="shared" si="3"/>
        <v>Household</v>
      </c>
      <c r="H100" s="25">
        <v>15.25</v>
      </c>
      <c r="I100" s="6">
        <v>17</v>
      </c>
      <c r="J100" s="25">
        <v>18.149999999999999</v>
      </c>
      <c r="K100" s="25">
        <v>277.39999999999998</v>
      </c>
      <c r="L100" s="9">
        <v>0</v>
      </c>
      <c r="M100" s="39" t="str">
        <f t="shared" si="2"/>
        <v>Normal Transaction</v>
      </c>
    </row>
    <row r="101" spans="1:13" x14ac:dyDescent="0.35">
      <c r="A101" s="27">
        <v>100</v>
      </c>
      <c r="B101" s="2" t="s">
        <v>0</v>
      </c>
      <c r="C101" s="2" t="s">
        <v>14</v>
      </c>
      <c r="D101" s="2" t="s">
        <v>2</v>
      </c>
      <c r="E101" s="2" t="s">
        <v>3</v>
      </c>
      <c r="F101" s="9" t="s">
        <v>10</v>
      </c>
      <c r="G101" s="9" t="str">
        <f t="shared" si="3"/>
        <v>Stationery</v>
      </c>
      <c r="H101" s="25">
        <v>10.62</v>
      </c>
      <c r="I101" s="6">
        <v>18</v>
      </c>
      <c r="J101" s="25">
        <v>13.38</v>
      </c>
      <c r="K101" s="25">
        <v>204.54</v>
      </c>
      <c r="L101" s="9">
        <v>20</v>
      </c>
      <c r="M101" s="39" t="str">
        <f t="shared" si="2"/>
        <v>Normal Transaction</v>
      </c>
    </row>
    <row r="102" spans="1:13" x14ac:dyDescent="0.35">
      <c r="A102" s="27">
        <v>101</v>
      </c>
      <c r="B102" s="2" t="s">
        <v>6</v>
      </c>
      <c r="C102" s="2" t="s">
        <v>7</v>
      </c>
      <c r="D102" s="2" t="s">
        <v>2</v>
      </c>
      <c r="E102" s="2" t="s">
        <v>3</v>
      </c>
      <c r="F102" s="9" t="s">
        <v>17</v>
      </c>
      <c r="G102" s="9" t="str">
        <f t="shared" si="3"/>
        <v>Beverages</v>
      </c>
      <c r="H102" s="25">
        <v>4.24</v>
      </c>
      <c r="I102" s="6">
        <v>20</v>
      </c>
      <c r="J102" s="25">
        <v>5.94</v>
      </c>
      <c r="K102" s="25">
        <v>90.74</v>
      </c>
      <c r="L102" s="9">
        <v>9</v>
      </c>
      <c r="M102" s="39" t="str">
        <f t="shared" si="2"/>
        <v>Normal Transaction</v>
      </c>
    </row>
    <row r="103" spans="1:13" x14ac:dyDescent="0.35">
      <c r="A103" s="27">
        <v>102</v>
      </c>
      <c r="B103" s="2" t="s">
        <v>31</v>
      </c>
      <c r="C103" s="2" t="s">
        <v>1</v>
      </c>
      <c r="D103" s="2" t="s">
        <v>8</v>
      </c>
      <c r="E103" s="2" t="s">
        <v>9</v>
      </c>
      <c r="F103" s="9" t="s">
        <v>10</v>
      </c>
      <c r="G103" s="9" t="str">
        <f t="shared" si="3"/>
        <v>Stationery</v>
      </c>
      <c r="H103" s="25">
        <v>16.690000000000001</v>
      </c>
      <c r="I103" s="6">
        <v>4</v>
      </c>
      <c r="J103" s="25">
        <v>4.67</v>
      </c>
      <c r="K103" s="25">
        <v>71.430000000000007</v>
      </c>
      <c r="L103" s="9">
        <v>0</v>
      </c>
      <c r="M103" s="39" t="str">
        <f t="shared" si="2"/>
        <v>Normal Transaction</v>
      </c>
    </row>
    <row r="104" spans="1:13" x14ac:dyDescent="0.35">
      <c r="A104" s="27">
        <v>103</v>
      </c>
      <c r="B104" s="2" t="s">
        <v>31</v>
      </c>
      <c r="C104" s="2" t="s">
        <v>1</v>
      </c>
      <c r="D104" s="2" t="s">
        <v>8</v>
      </c>
      <c r="E104" s="2" t="s">
        <v>3</v>
      </c>
      <c r="F104" s="9" t="s">
        <v>17</v>
      </c>
      <c r="G104" s="9" t="str">
        <f t="shared" si="3"/>
        <v>Beverages</v>
      </c>
      <c r="H104" s="25">
        <v>8.89</v>
      </c>
      <c r="I104" s="6">
        <v>9</v>
      </c>
      <c r="J104" s="25">
        <v>5.6</v>
      </c>
      <c r="K104" s="25">
        <v>85.61</v>
      </c>
      <c r="L104" s="9">
        <v>0</v>
      </c>
      <c r="M104" s="39" t="str">
        <f t="shared" si="2"/>
        <v>Normal Transaction</v>
      </c>
    </row>
    <row r="105" spans="1:13" x14ac:dyDescent="0.35">
      <c r="A105" s="27">
        <v>104</v>
      </c>
      <c r="B105" s="2" t="s">
        <v>31</v>
      </c>
      <c r="C105" s="2" t="s">
        <v>1</v>
      </c>
      <c r="D105" s="2" t="s">
        <v>8</v>
      </c>
      <c r="E105" s="2" t="s">
        <v>3</v>
      </c>
      <c r="F105" s="9" t="s">
        <v>4</v>
      </c>
      <c r="G105" s="9" t="str">
        <f t="shared" si="3"/>
        <v>Personal Care</v>
      </c>
      <c r="H105" s="25">
        <v>18.239999999999998</v>
      </c>
      <c r="I105" s="6">
        <v>18</v>
      </c>
      <c r="J105" s="25">
        <v>22.98</v>
      </c>
      <c r="K105" s="25">
        <v>351.3</v>
      </c>
      <c r="L105" s="9">
        <v>0</v>
      </c>
      <c r="M105" s="39" t="str">
        <f t="shared" si="2"/>
        <v>Normal Transaction</v>
      </c>
    </row>
    <row r="106" spans="1:13" x14ac:dyDescent="0.35">
      <c r="A106" s="27">
        <v>105</v>
      </c>
      <c r="B106" s="2" t="s">
        <v>6</v>
      </c>
      <c r="C106" s="2" t="s">
        <v>7</v>
      </c>
      <c r="D106" s="2" t="s">
        <v>2</v>
      </c>
      <c r="E106" s="2" t="s">
        <v>9</v>
      </c>
      <c r="F106" s="9" t="s">
        <v>17</v>
      </c>
      <c r="G106" s="9" t="str">
        <f t="shared" si="3"/>
        <v>Beverages</v>
      </c>
      <c r="H106" s="25">
        <v>6.23</v>
      </c>
      <c r="I106" s="6">
        <v>18</v>
      </c>
      <c r="J106" s="25">
        <v>7.85</v>
      </c>
      <c r="K106" s="25">
        <v>119.99</v>
      </c>
      <c r="L106" s="9">
        <v>11</v>
      </c>
      <c r="M106" s="39" t="str">
        <f t="shared" si="2"/>
        <v>Normal Transaction</v>
      </c>
    </row>
    <row r="107" spans="1:13" x14ac:dyDescent="0.35">
      <c r="A107" s="27">
        <v>106</v>
      </c>
      <c r="B107" s="2" t="s">
        <v>0</v>
      </c>
      <c r="C107" s="2" t="s">
        <v>14</v>
      </c>
      <c r="D107" s="2" t="s">
        <v>8</v>
      </c>
      <c r="E107" s="2" t="s">
        <v>3</v>
      </c>
      <c r="F107" s="9" t="s">
        <v>12</v>
      </c>
      <c r="G107" s="9" t="str">
        <f t="shared" si="3"/>
        <v>Fruits</v>
      </c>
      <c r="H107" s="25">
        <v>1.02</v>
      </c>
      <c r="I107" s="6">
        <v>2</v>
      </c>
      <c r="J107" s="25">
        <v>0.14000000000000001</v>
      </c>
      <c r="K107" s="25">
        <v>2.1800000000000002</v>
      </c>
      <c r="L107" s="9">
        <v>0</v>
      </c>
      <c r="M107" s="39" t="str">
        <f t="shared" si="2"/>
        <v>Normal Transaction</v>
      </c>
    </row>
    <row r="108" spans="1:13" x14ac:dyDescent="0.35">
      <c r="A108" s="27">
        <v>107</v>
      </c>
      <c r="B108" s="2" t="s">
        <v>31</v>
      </c>
      <c r="C108" s="2" t="s">
        <v>1</v>
      </c>
      <c r="D108" s="2" t="s">
        <v>2</v>
      </c>
      <c r="E108" s="2" t="s">
        <v>9</v>
      </c>
      <c r="F108" s="9" t="s">
        <v>15</v>
      </c>
      <c r="G108" s="9" t="str">
        <f t="shared" si="3"/>
        <v>Household</v>
      </c>
      <c r="H108" s="25">
        <v>4.5</v>
      </c>
      <c r="I108" s="6">
        <v>6</v>
      </c>
      <c r="J108" s="25">
        <v>1.89</v>
      </c>
      <c r="K108" s="25">
        <v>28.89</v>
      </c>
      <c r="L108" s="9">
        <v>2</v>
      </c>
      <c r="M108" s="39" t="str">
        <f t="shared" si="2"/>
        <v>Normal Transaction</v>
      </c>
    </row>
    <row r="109" spans="1:13" x14ac:dyDescent="0.35">
      <c r="A109" s="27">
        <v>108</v>
      </c>
      <c r="B109" s="2" t="s">
        <v>6</v>
      </c>
      <c r="C109" s="2" t="s">
        <v>7</v>
      </c>
      <c r="D109" s="2" t="s">
        <v>8</v>
      </c>
      <c r="E109" s="2" t="s">
        <v>3</v>
      </c>
      <c r="F109" s="9" t="s">
        <v>15</v>
      </c>
      <c r="G109" s="9" t="str">
        <f t="shared" si="3"/>
        <v>Household</v>
      </c>
      <c r="H109" s="25">
        <v>7.31</v>
      </c>
      <c r="I109" s="6">
        <v>15</v>
      </c>
      <c r="J109" s="25">
        <v>7.68</v>
      </c>
      <c r="K109" s="25">
        <v>117.33</v>
      </c>
      <c r="L109" s="9">
        <v>0</v>
      </c>
      <c r="M109" s="39" t="str">
        <f t="shared" si="2"/>
        <v>Normal Transaction</v>
      </c>
    </row>
    <row r="110" spans="1:13" x14ac:dyDescent="0.35">
      <c r="A110" s="27">
        <v>109</v>
      </c>
      <c r="B110" s="2" t="s">
        <v>6</v>
      </c>
      <c r="C110" s="2" t="s">
        <v>7</v>
      </c>
      <c r="D110" s="2" t="s">
        <v>8</v>
      </c>
      <c r="E110" s="2" t="s">
        <v>3</v>
      </c>
      <c r="F110" s="9" t="s">
        <v>17</v>
      </c>
      <c r="G110" s="9" t="str">
        <f t="shared" si="3"/>
        <v>Beverages</v>
      </c>
      <c r="H110" s="25">
        <v>16.899999999999999</v>
      </c>
      <c r="I110" s="6">
        <v>9</v>
      </c>
      <c r="J110" s="25">
        <v>10.65</v>
      </c>
      <c r="K110" s="25">
        <v>162.75</v>
      </c>
      <c r="L110" s="9">
        <v>0</v>
      </c>
      <c r="M110" s="39" t="str">
        <f t="shared" si="2"/>
        <v>Normal Transaction</v>
      </c>
    </row>
    <row r="111" spans="1:13" x14ac:dyDescent="0.35">
      <c r="A111" s="27">
        <v>110</v>
      </c>
      <c r="B111" s="2" t="s">
        <v>31</v>
      </c>
      <c r="C111" s="2" t="s">
        <v>1</v>
      </c>
      <c r="D111" s="2" t="s">
        <v>2</v>
      </c>
      <c r="E111" s="2" t="s">
        <v>9</v>
      </c>
      <c r="F111" s="9" t="s">
        <v>15</v>
      </c>
      <c r="G111" s="9" t="str">
        <f t="shared" si="3"/>
        <v>Household</v>
      </c>
      <c r="H111" s="25">
        <v>5.91</v>
      </c>
      <c r="I111" s="6">
        <v>13</v>
      </c>
      <c r="J111" s="25">
        <v>5.38</v>
      </c>
      <c r="K111" s="25">
        <v>82.21</v>
      </c>
      <c r="L111" s="9">
        <v>8</v>
      </c>
      <c r="M111" s="39" t="str">
        <f t="shared" si="2"/>
        <v>Normal Transaction</v>
      </c>
    </row>
    <row r="112" spans="1:13" x14ac:dyDescent="0.35">
      <c r="A112" s="27">
        <v>111</v>
      </c>
      <c r="B112" s="2" t="s">
        <v>0</v>
      </c>
      <c r="C112" s="2" t="s">
        <v>14</v>
      </c>
      <c r="D112" s="2" t="s">
        <v>2</v>
      </c>
      <c r="E112" s="2" t="s">
        <v>9</v>
      </c>
      <c r="F112" s="9" t="s">
        <v>12</v>
      </c>
      <c r="G112" s="9" t="str">
        <f t="shared" si="3"/>
        <v>Fruits</v>
      </c>
      <c r="H112" s="25">
        <v>14.97</v>
      </c>
      <c r="I112" s="6">
        <v>9</v>
      </c>
      <c r="J112" s="25">
        <v>9.43</v>
      </c>
      <c r="K112" s="25">
        <v>144.16</v>
      </c>
      <c r="L112" s="9">
        <v>14</v>
      </c>
      <c r="M112" s="39" t="str">
        <f t="shared" si="2"/>
        <v>Normal Transaction</v>
      </c>
    </row>
    <row r="113" spans="1:13" x14ac:dyDescent="0.35">
      <c r="A113" s="27">
        <v>112</v>
      </c>
      <c r="B113" s="2" t="s">
        <v>31</v>
      </c>
      <c r="C113" s="2" t="s">
        <v>1</v>
      </c>
      <c r="D113" s="2" t="s">
        <v>2</v>
      </c>
      <c r="E113" s="2" t="s">
        <v>3</v>
      </c>
      <c r="F113" s="9" t="s">
        <v>12</v>
      </c>
      <c r="G113" s="9" t="str">
        <f t="shared" si="3"/>
        <v>Fruits</v>
      </c>
      <c r="H113" s="25">
        <v>10.039999999999999</v>
      </c>
      <c r="I113" s="6">
        <v>9</v>
      </c>
      <c r="J113" s="25">
        <v>6.33</v>
      </c>
      <c r="K113" s="25">
        <v>96.69</v>
      </c>
      <c r="L113" s="9">
        <v>9</v>
      </c>
      <c r="M113" s="39" t="str">
        <f t="shared" si="2"/>
        <v>Normal Transaction</v>
      </c>
    </row>
    <row r="114" spans="1:13" x14ac:dyDescent="0.35">
      <c r="A114" s="27">
        <v>113</v>
      </c>
      <c r="B114" s="2" t="s">
        <v>0</v>
      </c>
      <c r="C114" s="2" t="s">
        <v>14</v>
      </c>
      <c r="D114" s="2" t="s">
        <v>2</v>
      </c>
      <c r="E114" s="2" t="s">
        <v>3</v>
      </c>
      <c r="F114" s="9" t="s">
        <v>12</v>
      </c>
      <c r="G114" s="9" t="str">
        <f t="shared" si="3"/>
        <v>Fruits</v>
      </c>
      <c r="H114" s="25">
        <v>20.89</v>
      </c>
      <c r="I114" s="6">
        <v>3</v>
      </c>
      <c r="J114" s="25">
        <v>4.3899999999999997</v>
      </c>
      <c r="K114" s="25">
        <v>67.06</v>
      </c>
      <c r="L114" s="9">
        <v>6</v>
      </c>
      <c r="M114" s="39" t="str">
        <f t="shared" si="2"/>
        <v>Normal Transaction</v>
      </c>
    </row>
    <row r="115" spans="1:13" x14ac:dyDescent="0.35">
      <c r="A115" s="27">
        <v>114</v>
      </c>
      <c r="B115" s="2" t="s">
        <v>0</v>
      </c>
      <c r="C115" s="2" t="s">
        <v>14</v>
      </c>
      <c r="D115" s="2" t="s">
        <v>2</v>
      </c>
      <c r="E115" s="2" t="s">
        <v>9</v>
      </c>
      <c r="F115" s="9" t="s">
        <v>15</v>
      </c>
      <c r="G115" s="9" t="str">
        <f t="shared" si="3"/>
        <v>Household</v>
      </c>
      <c r="H115" s="25">
        <v>9.3800000000000008</v>
      </c>
      <c r="I115" s="6">
        <v>15</v>
      </c>
      <c r="J115" s="25">
        <v>9.85</v>
      </c>
      <c r="K115" s="25">
        <v>150.55000000000001</v>
      </c>
      <c r="L115" s="9">
        <v>15</v>
      </c>
      <c r="M115" s="39" t="str">
        <f t="shared" si="2"/>
        <v>Normal Transaction</v>
      </c>
    </row>
    <row r="116" spans="1:13" x14ac:dyDescent="0.35">
      <c r="A116" s="27">
        <v>115</v>
      </c>
      <c r="B116" s="2" t="s">
        <v>31</v>
      </c>
      <c r="C116" s="2" t="s">
        <v>1</v>
      </c>
      <c r="D116" s="2" t="s">
        <v>8</v>
      </c>
      <c r="E116" s="2" t="s">
        <v>3</v>
      </c>
      <c r="F116" s="9" t="s">
        <v>17</v>
      </c>
      <c r="G116" s="9" t="str">
        <f t="shared" si="3"/>
        <v>Beverages</v>
      </c>
      <c r="H116" s="25">
        <v>4.7699999999999996</v>
      </c>
      <c r="I116" s="6">
        <v>11</v>
      </c>
      <c r="J116" s="25">
        <v>3.67</v>
      </c>
      <c r="K116" s="25">
        <v>56.14</v>
      </c>
      <c r="L116" s="9">
        <v>0</v>
      </c>
      <c r="M116" s="39" t="str">
        <f t="shared" si="2"/>
        <v>Normal Transaction</v>
      </c>
    </row>
    <row r="117" spans="1:13" x14ac:dyDescent="0.35">
      <c r="A117" s="27">
        <v>116</v>
      </c>
      <c r="B117" s="2" t="s">
        <v>31</v>
      </c>
      <c r="C117" s="2" t="s">
        <v>1</v>
      </c>
      <c r="D117" s="2" t="s">
        <v>8</v>
      </c>
      <c r="E117" s="2" t="s">
        <v>9</v>
      </c>
      <c r="F117" s="9" t="s">
        <v>12</v>
      </c>
      <c r="G117" s="9" t="str">
        <f t="shared" si="3"/>
        <v>Fruits</v>
      </c>
      <c r="H117" s="25">
        <v>7.01</v>
      </c>
      <c r="I117" s="6">
        <v>19</v>
      </c>
      <c r="J117" s="25">
        <v>9.32</v>
      </c>
      <c r="K117" s="25">
        <v>142.51</v>
      </c>
      <c r="L117" s="9">
        <v>0</v>
      </c>
      <c r="M117" s="39" t="str">
        <f t="shared" si="2"/>
        <v>Normal Transaction</v>
      </c>
    </row>
    <row r="118" spans="1:13" x14ac:dyDescent="0.35">
      <c r="A118" s="27">
        <v>117</v>
      </c>
      <c r="B118" s="2" t="s">
        <v>0</v>
      </c>
      <c r="C118" s="2" t="s">
        <v>14</v>
      </c>
      <c r="D118" s="2" t="s">
        <v>2</v>
      </c>
      <c r="E118" s="2" t="s">
        <v>3</v>
      </c>
      <c r="F118" s="9" t="s">
        <v>4</v>
      </c>
      <c r="G118" s="9" t="str">
        <f t="shared" si="3"/>
        <v>Personal Care</v>
      </c>
      <c r="H118" s="25">
        <v>12.65</v>
      </c>
      <c r="I118" s="6">
        <v>18</v>
      </c>
      <c r="J118" s="25">
        <v>15.94</v>
      </c>
      <c r="K118" s="25">
        <v>243.64</v>
      </c>
      <c r="L118" s="9">
        <v>24</v>
      </c>
      <c r="M118" s="39" t="str">
        <f t="shared" si="2"/>
        <v>Normal Transaction</v>
      </c>
    </row>
    <row r="119" spans="1:13" x14ac:dyDescent="0.35">
      <c r="A119" s="27">
        <v>118</v>
      </c>
      <c r="B119" s="2" t="s">
        <v>6</v>
      </c>
      <c r="C119" s="2" t="s">
        <v>7</v>
      </c>
      <c r="D119" s="2" t="s">
        <v>2</v>
      </c>
      <c r="E119" s="2" t="s">
        <v>9</v>
      </c>
      <c r="F119" s="9" t="s">
        <v>15</v>
      </c>
      <c r="G119" s="9" t="str">
        <f t="shared" si="3"/>
        <v>Household</v>
      </c>
      <c r="H119" s="25">
        <v>5.42</v>
      </c>
      <c r="I119" s="6">
        <v>16</v>
      </c>
      <c r="J119" s="25">
        <v>6.07</v>
      </c>
      <c r="K119" s="25">
        <v>92.79</v>
      </c>
      <c r="L119" s="9">
        <v>9</v>
      </c>
      <c r="M119" s="39" t="str">
        <f t="shared" si="2"/>
        <v>Normal Transaction</v>
      </c>
    </row>
    <row r="120" spans="1:13" x14ac:dyDescent="0.35">
      <c r="A120" s="27">
        <v>119</v>
      </c>
      <c r="B120" s="2" t="s">
        <v>0</v>
      </c>
      <c r="C120" s="2" t="s">
        <v>14</v>
      </c>
      <c r="D120" s="2" t="s">
        <v>8</v>
      </c>
      <c r="E120" s="2" t="s">
        <v>9</v>
      </c>
      <c r="F120" s="9" t="s">
        <v>12</v>
      </c>
      <c r="G120" s="9" t="str">
        <f t="shared" si="3"/>
        <v>Fruits</v>
      </c>
      <c r="H120" s="25">
        <v>17.61</v>
      </c>
      <c r="I120" s="6">
        <v>7</v>
      </c>
      <c r="J120" s="25">
        <v>8.6300000000000008</v>
      </c>
      <c r="K120" s="25">
        <v>131.9</v>
      </c>
      <c r="L120" s="9">
        <v>0</v>
      </c>
      <c r="M120" s="39" t="str">
        <f t="shared" si="2"/>
        <v>Normal Transaction</v>
      </c>
    </row>
    <row r="121" spans="1:13" x14ac:dyDescent="0.35">
      <c r="A121" s="27">
        <v>120</v>
      </c>
      <c r="B121" s="2" t="s">
        <v>31</v>
      </c>
      <c r="C121" s="2" t="s">
        <v>1</v>
      </c>
      <c r="D121" s="2" t="s">
        <v>8</v>
      </c>
      <c r="E121" s="2" t="s">
        <v>3</v>
      </c>
      <c r="F121" s="9" t="s">
        <v>17</v>
      </c>
      <c r="G121" s="9" t="str">
        <f t="shared" si="3"/>
        <v>Beverages</v>
      </c>
      <c r="H121" s="25">
        <v>4.6399999999999997</v>
      </c>
      <c r="I121" s="6">
        <v>9</v>
      </c>
      <c r="J121" s="25">
        <v>2.92</v>
      </c>
      <c r="K121" s="25">
        <v>44.68</v>
      </c>
      <c r="L121" s="9">
        <v>0</v>
      </c>
      <c r="M121" s="39" t="str">
        <f t="shared" si="2"/>
        <v>Normal Transaction</v>
      </c>
    </row>
    <row r="122" spans="1:13" x14ac:dyDescent="0.35">
      <c r="A122" s="27">
        <v>121</v>
      </c>
      <c r="B122" s="2" t="s">
        <v>6</v>
      </c>
      <c r="C122" s="2" t="s">
        <v>7</v>
      </c>
      <c r="D122" s="2" t="s">
        <v>2</v>
      </c>
      <c r="E122" s="2" t="s">
        <v>9</v>
      </c>
      <c r="F122" s="9" t="s">
        <v>10</v>
      </c>
      <c r="G122" s="9" t="str">
        <f t="shared" si="3"/>
        <v>Stationery</v>
      </c>
      <c r="H122" s="25">
        <v>1.68</v>
      </c>
      <c r="I122" s="6">
        <v>4</v>
      </c>
      <c r="J122" s="25">
        <v>0.47</v>
      </c>
      <c r="K122" s="25">
        <v>7.19</v>
      </c>
      <c r="L122" s="9">
        <v>0</v>
      </c>
      <c r="M122" s="39" t="str">
        <f t="shared" si="2"/>
        <v>Normal Transaction</v>
      </c>
    </row>
    <row r="123" spans="1:13" x14ac:dyDescent="0.35">
      <c r="A123" s="27">
        <v>122</v>
      </c>
      <c r="B123" s="2" t="s">
        <v>31</v>
      </c>
      <c r="C123" s="2" t="s">
        <v>1</v>
      </c>
      <c r="D123" s="2" t="s">
        <v>8</v>
      </c>
      <c r="E123" s="2" t="s">
        <v>9</v>
      </c>
      <c r="F123" s="9" t="s">
        <v>15</v>
      </c>
      <c r="G123" s="9" t="str">
        <f t="shared" si="3"/>
        <v>Household</v>
      </c>
      <c r="H123" s="25">
        <v>3.2</v>
      </c>
      <c r="I123" s="6">
        <v>12</v>
      </c>
      <c r="J123" s="25">
        <v>2.69</v>
      </c>
      <c r="K123" s="25">
        <v>41.09</v>
      </c>
      <c r="L123" s="9">
        <v>0</v>
      </c>
      <c r="M123" s="39" t="str">
        <f t="shared" si="2"/>
        <v>Normal Transaction</v>
      </c>
    </row>
    <row r="124" spans="1:13" x14ac:dyDescent="0.35">
      <c r="A124" s="27">
        <v>123</v>
      </c>
      <c r="B124" s="2" t="s">
        <v>0</v>
      </c>
      <c r="C124" s="2" t="s">
        <v>14</v>
      </c>
      <c r="D124" s="2" t="s">
        <v>8</v>
      </c>
      <c r="E124" s="2" t="s">
        <v>3</v>
      </c>
      <c r="F124" s="9" t="s">
        <v>4</v>
      </c>
      <c r="G124" s="9" t="str">
        <f t="shared" si="3"/>
        <v>Personal Care</v>
      </c>
      <c r="H124" s="25">
        <v>3.33</v>
      </c>
      <c r="I124" s="6">
        <v>11</v>
      </c>
      <c r="J124" s="25">
        <v>2.56</v>
      </c>
      <c r="K124" s="25">
        <v>39.19</v>
      </c>
      <c r="L124" s="9">
        <v>0</v>
      </c>
      <c r="M124" s="39" t="str">
        <f t="shared" si="2"/>
        <v>Normal Transaction</v>
      </c>
    </row>
    <row r="125" spans="1:13" x14ac:dyDescent="0.35">
      <c r="A125" s="27">
        <v>124</v>
      </c>
      <c r="B125" s="2" t="s">
        <v>31</v>
      </c>
      <c r="C125" s="2" t="s">
        <v>1</v>
      </c>
      <c r="D125" s="2" t="s">
        <v>2</v>
      </c>
      <c r="E125" s="2" t="s">
        <v>9</v>
      </c>
      <c r="F125" s="9" t="s">
        <v>15</v>
      </c>
      <c r="G125" s="9" t="str">
        <f t="shared" si="3"/>
        <v>Household</v>
      </c>
      <c r="H125" s="25">
        <v>14.91</v>
      </c>
      <c r="I125" s="6">
        <v>4</v>
      </c>
      <c r="J125" s="25">
        <v>4.17</v>
      </c>
      <c r="K125" s="25">
        <v>63.81</v>
      </c>
      <c r="L125" s="9">
        <v>6</v>
      </c>
      <c r="M125" s="39" t="str">
        <f t="shared" si="2"/>
        <v>Normal Transaction</v>
      </c>
    </row>
    <row r="126" spans="1:13" x14ac:dyDescent="0.35">
      <c r="A126" s="27">
        <v>125</v>
      </c>
      <c r="B126" s="2" t="s">
        <v>31</v>
      </c>
      <c r="C126" s="2" t="s">
        <v>1</v>
      </c>
      <c r="D126" s="2" t="s">
        <v>2</v>
      </c>
      <c r="E126" s="2" t="s">
        <v>3</v>
      </c>
      <c r="F126" s="9" t="s">
        <v>4</v>
      </c>
      <c r="G126" s="9" t="str">
        <f t="shared" si="3"/>
        <v>Personal Care</v>
      </c>
      <c r="H126" s="25">
        <v>6.84</v>
      </c>
      <c r="I126" s="6">
        <v>6</v>
      </c>
      <c r="J126" s="25">
        <v>2.87</v>
      </c>
      <c r="K126" s="25">
        <v>43.91</v>
      </c>
      <c r="L126" s="9">
        <v>4</v>
      </c>
      <c r="M126" s="39" t="str">
        <f t="shared" si="2"/>
        <v>Normal Transaction</v>
      </c>
    </row>
    <row r="127" spans="1:13" x14ac:dyDescent="0.35">
      <c r="A127" s="27">
        <v>126</v>
      </c>
      <c r="B127" s="2" t="s">
        <v>31</v>
      </c>
      <c r="C127" s="2" t="s">
        <v>1</v>
      </c>
      <c r="D127" s="2" t="s">
        <v>2</v>
      </c>
      <c r="E127" s="2" t="s">
        <v>9</v>
      </c>
      <c r="F127" s="9" t="s">
        <v>15</v>
      </c>
      <c r="G127" s="9" t="str">
        <f t="shared" si="3"/>
        <v>Household</v>
      </c>
      <c r="H127" s="25">
        <v>20.37</v>
      </c>
      <c r="I127" s="6">
        <v>10</v>
      </c>
      <c r="J127" s="25">
        <v>14.26</v>
      </c>
      <c r="K127" s="25">
        <v>217.96</v>
      </c>
      <c r="L127" s="9">
        <v>21</v>
      </c>
      <c r="M127" s="39" t="str">
        <f t="shared" si="2"/>
        <v>Normal Transaction</v>
      </c>
    </row>
    <row r="128" spans="1:13" x14ac:dyDescent="0.35">
      <c r="A128" s="27">
        <v>127</v>
      </c>
      <c r="B128" s="2" t="s">
        <v>31</v>
      </c>
      <c r="C128" s="2" t="s">
        <v>1</v>
      </c>
      <c r="D128" s="2" t="s">
        <v>8</v>
      </c>
      <c r="E128" s="2" t="s">
        <v>3</v>
      </c>
      <c r="F128" s="9" t="s">
        <v>12</v>
      </c>
      <c r="G128" s="9" t="str">
        <f t="shared" si="3"/>
        <v>Fruits</v>
      </c>
      <c r="H128" s="25">
        <v>1.0900000000000001</v>
      </c>
      <c r="I128" s="6">
        <v>10</v>
      </c>
      <c r="J128" s="25">
        <v>0.76</v>
      </c>
      <c r="K128" s="25">
        <v>11.66</v>
      </c>
      <c r="L128" s="9">
        <v>0</v>
      </c>
      <c r="M128" s="39" t="str">
        <f t="shared" si="2"/>
        <v>Normal Transaction</v>
      </c>
    </row>
    <row r="129" spans="1:13" x14ac:dyDescent="0.35">
      <c r="A129" s="27">
        <v>128</v>
      </c>
      <c r="B129" s="2" t="s">
        <v>0</v>
      </c>
      <c r="C129" s="2" t="s">
        <v>14</v>
      </c>
      <c r="D129" s="2" t="s">
        <v>2</v>
      </c>
      <c r="E129" s="2" t="s">
        <v>9</v>
      </c>
      <c r="F129" s="9" t="s">
        <v>10</v>
      </c>
      <c r="G129" s="9" t="str">
        <f t="shared" si="3"/>
        <v>Stationery</v>
      </c>
      <c r="H129" s="25">
        <v>2.78</v>
      </c>
      <c r="I129" s="6">
        <v>5</v>
      </c>
      <c r="J129" s="25">
        <v>0.97</v>
      </c>
      <c r="K129" s="25">
        <v>14.87</v>
      </c>
      <c r="L129" s="9">
        <v>1</v>
      </c>
      <c r="M129" s="39" t="str">
        <f t="shared" si="2"/>
        <v>Normal Transaction</v>
      </c>
    </row>
    <row r="130" spans="1:13" x14ac:dyDescent="0.35">
      <c r="A130" s="27">
        <v>129</v>
      </c>
      <c r="B130" s="2" t="s">
        <v>0</v>
      </c>
      <c r="C130" s="2" t="s">
        <v>14</v>
      </c>
      <c r="D130" s="2" t="s">
        <v>2</v>
      </c>
      <c r="E130" s="2" t="s">
        <v>9</v>
      </c>
      <c r="F130" s="9" t="s">
        <v>4</v>
      </c>
      <c r="G130" s="9" t="str">
        <f t="shared" si="3"/>
        <v>Personal Care</v>
      </c>
      <c r="H130" s="25">
        <v>15.52</v>
      </c>
      <c r="I130" s="6">
        <v>4</v>
      </c>
      <c r="J130" s="25">
        <v>4.3499999999999996</v>
      </c>
      <c r="K130" s="25">
        <v>66.430000000000007</v>
      </c>
      <c r="L130" s="9">
        <v>6</v>
      </c>
      <c r="M130" s="39" t="str">
        <f t="shared" ref="M130:M193" si="4">IF(K130 &gt; 382.93, "Outlier (Extreme Spend)", "Normal Transaction")</f>
        <v>Normal Transaction</v>
      </c>
    </row>
    <row r="131" spans="1:13" x14ac:dyDescent="0.35">
      <c r="A131" s="27">
        <v>130</v>
      </c>
      <c r="B131" s="2" t="s">
        <v>6</v>
      </c>
      <c r="C131" s="2" t="s">
        <v>7</v>
      </c>
      <c r="D131" s="2" t="s">
        <v>2</v>
      </c>
      <c r="E131" s="2" t="s">
        <v>9</v>
      </c>
      <c r="F131" s="9" t="s">
        <v>4</v>
      </c>
      <c r="G131" s="9" t="str">
        <f t="shared" ref="G131:G194" si="5">_xlfn.XLOOKUP(F131,$Q$2:$Q$6,$R$2:$R$6,"Unknown")</f>
        <v>Personal Care</v>
      </c>
      <c r="H131" s="25">
        <v>13.18</v>
      </c>
      <c r="I131" s="6">
        <v>16</v>
      </c>
      <c r="J131" s="25">
        <v>14.76</v>
      </c>
      <c r="K131" s="25">
        <v>225.64</v>
      </c>
      <c r="L131" s="9">
        <v>22</v>
      </c>
      <c r="M131" s="39" t="str">
        <f t="shared" si="4"/>
        <v>Normal Transaction</v>
      </c>
    </row>
    <row r="132" spans="1:13" x14ac:dyDescent="0.35">
      <c r="A132" s="27">
        <v>131</v>
      </c>
      <c r="B132" s="2" t="s">
        <v>31</v>
      </c>
      <c r="C132" s="2" t="s">
        <v>1</v>
      </c>
      <c r="D132" s="2" t="s">
        <v>8</v>
      </c>
      <c r="E132" s="2" t="s">
        <v>3</v>
      </c>
      <c r="F132" s="9" t="s">
        <v>4</v>
      </c>
      <c r="G132" s="9" t="str">
        <f t="shared" si="5"/>
        <v>Personal Care</v>
      </c>
      <c r="H132" s="25">
        <v>6.17</v>
      </c>
      <c r="I132" s="6">
        <v>19</v>
      </c>
      <c r="J132" s="25">
        <v>8.2100000000000009</v>
      </c>
      <c r="K132" s="25">
        <v>125.44</v>
      </c>
      <c r="L132" s="9">
        <v>0</v>
      </c>
      <c r="M132" s="39" t="str">
        <f t="shared" si="4"/>
        <v>Normal Transaction</v>
      </c>
    </row>
    <row r="133" spans="1:13" x14ac:dyDescent="0.35">
      <c r="A133" s="27">
        <v>132</v>
      </c>
      <c r="B133" s="2" t="s">
        <v>0</v>
      </c>
      <c r="C133" s="2" t="s">
        <v>14</v>
      </c>
      <c r="D133" s="2" t="s">
        <v>8</v>
      </c>
      <c r="E133" s="2" t="s">
        <v>3</v>
      </c>
      <c r="F133" s="9" t="s">
        <v>17</v>
      </c>
      <c r="G133" s="9" t="str">
        <f t="shared" si="5"/>
        <v>Beverages</v>
      </c>
      <c r="H133" s="25">
        <v>12.01</v>
      </c>
      <c r="I133" s="6">
        <v>17</v>
      </c>
      <c r="J133" s="25">
        <v>14.29</v>
      </c>
      <c r="K133" s="25">
        <v>218.46</v>
      </c>
      <c r="L133" s="9">
        <v>0</v>
      </c>
      <c r="M133" s="39" t="str">
        <f t="shared" si="4"/>
        <v>Normal Transaction</v>
      </c>
    </row>
    <row r="134" spans="1:13" x14ac:dyDescent="0.35">
      <c r="A134" s="27">
        <v>133</v>
      </c>
      <c r="B134" s="2" t="s">
        <v>0</v>
      </c>
      <c r="C134" s="2" t="s">
        <v>14</v>
      </c>
      <c r="D134" s="2" t="s">
        <v>8</v>
      </c>
      <c r="E134" s="2" t="s">
        <v>3</v>
      </c>
      <c r="F134" s="9" t="s">
        <v>12</v>
      </c>
      <c r="G134" s="9" t="str">
        <f t="shared" si="5"/>
        <v>Fruits</v>
      </c>
      <c r="H134" s="25">
        <v>17.25</v>
      </c>
      <c r="I134" s="6">
        <v>14</v>
      </c>
      <c r="J134" s="25">
        <v>16.91</v>
      </c>
      <c r="K134" s="25">
        <v>258.41000000000003</v>
      </c>
      <c r="L134" s="9">
        <v>0</v>
      </c>
      <c r="M134" s="39" t="str">
        <f t="shared" si="4"/>
        <v>Normal Transaction</v>
      </c>
    </row>
    <row r="135" spans="1:13" x14ac:dyDescent="0.35">
      <c r="A135" s="27">
        <v>134</v>
      </c>
      <c r="B135" s="2" t="s">
        <v>31</v>
      </c>
      <c r="C135" s="2" t="s">
        <v>1</v>
      </c>
      <c r="D135" s="2" t="s">
        <v>2</v>
      </c>
      <c r="E135" s="2" t="s">
        <v>9</v>
      </c>
      <c r="F135" s="9" t="s">
        <v>12</v>
      </c>
      <c r="G135" s="9" t="str">
        <f t="shared" si="5"/>
        <v>Fruits</v>
      </c>
      <c r="H135" s="25">
        <v>17.25</v>
      </c>
      <c r="I135" s="6">
        <v>11</v>
      </c>
      <c r="J135" s="25">
        <v>13.28</v>
      </c>
      <c r="K135" s="25">
        <v>203.03</v>
      </c>
      <c r="L135" s="9">
        <v>20</v>
      </c>
      <c r="M135" s="39" t="str">
        <f t="shared" si="4"/>
        <v>Normal Transaction</v>
      </c>
    </row>
    <row r="136" spans="1:13" x14ac:dyDescent="0.35">
      <c r="A136" s="27">
        <v>135</v>
      </c>
      <c r="B136" s="2" t="s">
        <v>31</v>
      </c>
      <c r="C136" s="2" t="s">
        <v>1</v>
      </c>
      <c r="D136" s="2" t="s">
        <v>2</v>
      </c>
      <c r="E136" s="2" t="s">
        <v>9</v>
      </c>
      <c r="F136" s="9" t="s">
        <v>10</v>
      </c>
      <c r="G136" s="9" t="str">
        <f t="shared" si="5"/>
        <v>Stationery</v>
      </c>
      <c r="H136" s="25">
        <v>20.58</v>
      </c>
      <c r="I136" s="6">
        <v>19</v>
      </c>
      <c r="J136" s="25">
        <v>27.37</v>
      </c>
      <c r="K136" s="25">
        <v>418.39</v>
      </c>
      <c r="L136" s="9">
        <v>41</v>
      </c>
      <c r="M136" s="39" t="str">
        <f t="shared" si="4"/>
        <v>Outlier (Extreme Spend)</v>
      </c>
    </row>
    <row r="137" spans="1:13" x14ac:dyDescent="0.35">
      <c r="A137" s="27">
        <v>136</v>
      </c>
      <c r="B137" s="2" t="s">
        <v>6</v>
      </c>
      <c r="C137" s="2" t="s">
        <v>7</v>
      </c>
      <c r="D137" s="2" t="s">
        <v>8</v>
      </c>
      <c r="E137" s="2" t="s">
        <v>9</v>
      </c>
      <c r="F137" s="9" t="s">
        <v>12</v>
      </c>
      <c r="G137" s="9" t="str">
        <f t="shared" si="5"/>
        <v>Fruits</v>
      </c>
      <c r="H137" s="25">
        <v>4.91</v>
      </c>
      <c r="I137" s="6">
        <v>1</v>
      </c>
      <c r="J137" s="25">
        <v>0.34</v>
      </c>
      <c r="K137" s="25">
        <v>5.25</v>
      </c>
      <c r="L137" s="9">
        <v>0</v>
      </c>
      <c r="M137" s="39" t="str">
        <f t="shared" si="4"/>
        <v>Normal Transaction</v>
      </c>
    </row>
    <row r="138" spans="1:13" x14ac:dyDescent="0.35">
      <c r="A138" s="27">
        <v>137</v>
      </c>
      <c r="B138" s="2" t="s">
        <v>6</v>
      </c>
      <c r="C138" s="2" t="s">
        <v>7</v>
      </c>
      <c r="D138" s="2" t="s">
        <v>2</v>
      </c>
      <c r="E138" s="2" t="s">
        <v>9</v>
      </c>
      <c r="F138" s="9" t="s">
        <v>12</v>
      </c>
      <c r="G138" s="9" t="str">
        <f t="shared" si="5"/>
        <v>Fruits</v>
      </c>
      <c r="H138" s="25">
        <v>18.05</v>
      </c>
      <c r="I138" s="6">
        <v>2</v>
      </c>
      <c r="J138" s="25">
        <v>2.5299999999999998</v>
      </c>
      <c r="K138" s="25">
        <v>38.630000000000003</v>
      </c>
      <c r="L138" s="9">
        <v>3</v>
      </c>
      <c r="M138" s="39" t="str">
        <f t="shared" si="4"/>
        <v>Normal Transaction</v>
      </c>
    </row>
    <row r="139" spans="1:13" x14ac:dyDescent="0.35">
      <c r="A139" s="27">
        <v>138</v>
      </c>
      <c r="B139" s="2" t="s">
        <v>6</v>
      </c>
      <c r="C139" s="2" t="s">
        <v>7</v>
      </c>
      <c r="D139" s="2" t="s">
        <v>2</v>
      </c>
      <c r="E139" s="2" t="s">
        <v>3</v>
      </c>
      <c r="F139" s="9" t="s">
        <v>10</v>
      </c>
      <c r="G139" s="9" t="str">
        <f t="shared" si="5"/>
        <v>Stationery</v>
      </c>
      <c r="H139" s="25">
        <v>4.66</v>
      </c>
      <c r="I139" s="6">
        <v>18</v>
      </c>
      <c r="J139" s="25">
        <v>5.87</v>
      </c>
      <c r="K139" s="25">
        <v>89.75</v>
      </c>
      <c r="L139" s="9">
        <v>8</v>
      </c>
      <c r="M139" s="39" t="str">
        <f t="shared" si="4"/>
        <v>Normal Transaction</v>
      </c>
    </row>
    <row r="140" spans="1:13" x14ac:dyDescent="0.35">
      <c r="A140" s="27">
        <v>139</v>
      </c>
      <c r="B140" s="2" t="s">
        <v>0</v>
      </c>
      <c r="C140" s="2" t="s">
        <v>14</v>
      </c>
      <c r="D140" s="2" t="s">
        <v>2</v>
      </c>
      <c r="E140" s="2" t="s">
        <v>3</v>
      </c>
      <c r="F140" s="9" t="s">
        <v>4</v>
      </c>
      <c r="G140" s="9" t="str">
        <f t="shared" si="5"/>
        <v>Personal Care</v>
      </c>
      <c r="H140" s="25">
        <v>4.8899999999999997</v>
      </c>
      <c r="I140" s="6">
        <v>14</v>
      </c>
      <c r="J140" s="25">
        <v>4.79</v>
      </c>
      <c r="K140" s="25">
        <v>73.25</v>
      </c>
      <c r="L140" s="9">
        <v>7</v>
      </c>
      <c r="M140" s="39" t="str">
        <f t="shared" si="4"/>
        <v>Normal Transaction</v>
      </c>
    </row>
    <row r="141" spans="1:13" x14ac:dyDescent="0.35">
      <c r="A141" s="27">
        <v>140</v>
      </c>
      <c r="B141" s="2" t="s">
        <v>6</v>
      </c>
      <c r="C141" s="2" t="s">
        <v>7</v>
      </c>
      <c r="D141" s="2" t="s">
        <v>2</v>
      </c>
      <c r="E141" s="2" t="s">
        <v>9</v>
      </c>
      <c r="F141" s="9" t="s">
        <v>17</v>
      </c>
      <c r="G141" s="9" t="str">
        <f t="shared" si="5"/>
        <v>Beverages</v>
      </c>
      <c r="H141" s="25">
        <v>9.7100000000000009</v>
      </c>
      <c r="I141" s="6">
        <v>13</v>
      </c>
      <c r="J141" s="25">
        <v>8.84</v>
      </c>
      <c r="K141" s="25">
        <v>135.07</v>
      </c>
      <c r="L141" s="9">
        <v>13</v>
      </c>
      <c r="M141" s="39" t="str">
        <f t="shared" si="4"/>
        <v>Normal Transaction</v>
      </c>
    </row>
    <row r="142" spans="1:13" x14ac:dyDescent="0.35">
      <c r="A142" s="27">
        <v>141</v>
      </c>
      <c r="B142" s="2" t="s">
        <v>0</v>
      </c>
      <c r="C142" s="2" t="s">
        <v>14</v>
      </c>
      <c r="D142" s="2" t="s">
        <v>8</v>
      </c>
      <c r="E142" s="2" t="s">
        <v>9</v>
      </c>
      <c r="F142" s="9" t="s">
        <v>10</v>
      </c>
      <c r="G142" s="9" t="str">
        <f t="shared" si="5"/>
        <v>Stationery</v>
      </c>
      <c r="H142" s="25">
        <v>3.44</v>
      </c>
      <c r="I142" s="6">
        <v>6</v>
      </c>
      <c r="J142" s="25">
        <v>1.44</v>
      </c>
      <c r="K142" s="25">
        <v>22.08</v>
      </c>
      <c r="L142" s="9">
        <v>0</v>
      </c>
      <c r="M142" s="39" t="str">
        <f t="shared" si="4"/>
        <v>Normal Transaction</v>
      </c>
    </row>
    <row r="143" spans="1:13" x14ac:dyDescent="0.35">
      <c r="A143" s="27">
        <v>142</v>
      </c>
      <c r="B143" s="2" t="s">
        <v>31</v>
      </c>
      <c r="C143" s="2" t="s">
        <v>1</v>
      </c>
      <c r="D143" s="2" t="s">
        <v>2</v>
      </c>
      <c r="E143" s="2" t="s">
        <v>9</v>
      </c>
      <c r="F143" s="9" t="s">
        <v>10</v>
      </c>
      <c r="G143" s="9" t="str">
        <f t="shared" si="5"/>
        <v>Stationery</v>
      </c>
      <c r="H143" s="25">
        <v>14.58</v>
      </c>
      <c r="I143" s="6">
        <v>7</v>
      </c>
      <c r="J143" s="25">
        <v>7.14</v>
      </c>
      <c r="K143" s="25">
        <v>109.2</v>
      </c>
      <c r="L143" s="9">
        <v>10</v>
      </c>
      <c r="M143" s="39" t="str">
        <f t="shared" si="4"/>
        <v>Normal Transaction</v>
      </c>
    </row>
    <row r="144" spans="1:13" x14ac:dyDescent="0.35">
      <c r="A144" s="27">
        <v>143</v>
      </c>
      <c r="B144" s="2" t="s">
        <v>31</v>
      </c>
      <c r="C144" s="2" t="s">
        <v>1</v>
      </c>
      <c r="D144" s="2" t="s">
        <v>2</v>
      </c>
      <c r="E144" s="2" t="s">
        <v>3</v>
      </c>
      <c r="F144" s="9" t="s">
        <v>4</v>
      </c>
      <c r="G144" s="9" t="str">
        <f t="shared" si="5"/>
        <v>Personal Care</v>
      </c>
      <c r="H144" s="25">
        <v>16.690000000000001</v>
      </c>
      <c r="I144" s="6">
        <v>7</v>
      </c>
      <c r="J144" s="25">
        <v>8.18</v>
      </c>
      <c r="K144" s="25">
        <v>125.01</v>
      </c>
      <c r="L144" s="9">
        <v>12</v>
      </c>
      <c r="M144" s="39" t="str">
        <f t="shared" si="4"/>
        <v>Normal Transaction</v>
      </c>
    </row>
    <row r="145" spans="1:13" x14ac:dyDescent="0.35">
      <c r="A145" s="27">
        <v>144</v>
      </c>
      <c r="B145" s="2" t="s">
        <v>0</v>
      </c>
      <c r="C145" s="2" t="s">
        <v>14</v>
      </c>
      <c r="D145" s="2" t="s">
        <v>2</v>
      </c>
      <c r="E145" s="2" t="s">
        <v>3</v>
      </c>
      <c r="F145" s="9" t="s">
        <v>4</v>
      </c>
      <c r="G145" s="9" t="str">
        <f t="shared" si="5"/>
        <v>Personal Care</v>
      </c>
      <c r="H145" s="25">
        <v>9.7200000000000006</v>
      </c>
      <c r="I145" s="6">
        <v>16</v>
      </c>
      <c r="J145" s="25">
        <v>10.89</v>
      </c>
      <c r="K145" s="25">
        <v>166.41</v>
      </c>
      <c r="L145" s="9">
        <v>16</v>
      </c>
      <c r="M145" s="39" t="str">
        <f t="shared" si="4"/>
        <v>Normal Transaction</v>
      </c>
    </row>
    <row r="146" spans="1:13" x14ac:dyDescent="0.35">
      <c r="A146" s="27">
        <v>145</v>
      </c>
      <c r="B146" s="2" t="s">
        <v>6</v>
      </c>
      <c r="C146" s="2" t="s">
        <v>7</v>
      </c>
      <c r="D146" s="2" t="s">
        <v>8</v>
      </c>
      <c r="E146" s="2" t="s">
        <v>3</v>
      </c>
      <c r="F146" s="9" t="s">
        <v>4</v>
      </c>
      <c r="G146" s="9" t="str">
        <f t="shared" si="5"/>
        <v>Personal Care</v>
      </c>
      <c r="H146" s="25">
        <v>15.96</v>
      </c>
      <c r="I146" s="6">
        <v>2</v>
      </c>
      <c r="J146" s="25">
        <v>2.23</v>
      </c>
      <c r="K146" s="25">
        <v>34.15</v>
      </c>
      <c r="L146" s="9">
        <v>0</v>
      </c>
      <c r="M146" s="39" t="str">
        <f t="shared" si="4"/>
        <v>Normal Transaction</v>
      </c>
    </row>
    <row r="147" spans="1:13" x14ac:dyDescent="0.35">
      <c r="A147" s="27">
        <v>146</v>
      </c>
      <c r="B147" s="2" t="s">
        <v>31</v>
      </c>
      <c r="C147" s="2" t="s">
        <v>1</v>
      </c>
      <c r="D147" s="2" t="s">
        <v>2</v>
      </c>
      <c r="E147" s="2" t="s">
        <v>3</v>
      </c>
      <c r="F147" s="9" t="s">
        <v>12</v>
      </c>
      <c r="G147" s="9" t="str">
        <f t="shared" si="5"/>
        <v>Fruits</v>
      </c>
      <c r="H147" s="25">
        <v>11.42</v>
      </c>
      <c r="I147" s="6">
        <v>20</v>
      </c>
      <c r="J147" s="25">
        <v>15.99</v>
      </c>
      <c r="K147" s="25">
        <v>244.39</v>
      </c>
      <c r="L147" s="9">
        <v>24</v>
      </c>
      <c r="M147" s="39" t="str">
        <f t="shared" si="4"/>
        <v>Normal Transaction</v>
      </c>
    </row>
    <row r="148" spans="1:13" x14ac:dyDescent="0.35">
      <c r="A148" s="27">
        <v>147</v>
      </c>
      <c r="B148" s="2" t="s">
        <v>31</v>
      </c>
      <c r="C148" s="2" t="s">
        <v>1</v>
      </c>
      <c r="D148" s="2" t="s">
        <v>8</v>
      </c>
      <c r="E148" s="2" t="s">
        <v>3</v>
      </c>
      <c r="F148" s="9" t="s">
        <v>10</v>
      </c>
      <c r="G148" s="9" t="str">
        <f t="shared" si="5"/>
        <v>Stationery</v>
      </c>
      <c r="H148" s="25">
        <v>5.01</v>
      </c>
      <c r="I148" s="6">
        <v>12</v>
      </c>
      <c r="J148" s="25">
        <v>4.21</v>
      </c>
      <c r="K148" s="25">
        <v>64.33</v>
      </c>
      <c r="L148" s="9">
        <v>0</v>
      </c>
      <c r="M148" s="39" t="str">
        <f t="shared" si="4"/>
        <v>Normal Transaction</v>
      </c>
    </row>
    <row r="149" spans="1:13" x14ac:dyDescent="0.35">
      <c r="A149" s="27">
        <v>148</v>
      </c>
      <c r="B149" s="2" t="s">
        <v>0</v>
      </c>
      <c r="C149" s="2" t="s">
        <v>14</v>
      </c>
      <c r="D149" s="2" t="s">
        <v>2</v>
      </c>
      <c r="E149" s="2" t="s">
        <v>3</v>
      </c>
      <c r="F149" s="9" t="s">
        <v>10</v>
      </c>
      <c r="G149" s="9" t="str">
        <f t="shared" si="5"/>
        <v>Stationery</v>
      </c>
      <c r="H149" s="25">
        <v>2.27</v>
      </c>
      <c r="I149" s="6">
        <v>9</v>
      </c>
      <c r="J149" s="25">
        <v>1.43</v>
      </c>
      <c r="K149" s="25">
        <v>21.86</v>
      </c>
      <c r="L149" s="9">
        <v>2</v>
      </c>
      <c r="M149" s="39" t="str">
        <f t="shared" si="4"/>
        <v>Normal Transaction</v>
      </c>
    </row>
    <row r="150" spans="1:13" x14ac:dyDescent="0.35">
      <c r="A150" s="27">
        <v>149</v>
      </c>
      <c r="B150" s="2" t="s">
        <v>31</v>
      </c>
      <c r="C150" s="2" t="s">
        <v>1</v>
      </c>
      <c r="D150" s="2" t="s">
        <v>2</v>
      </c>
      <c r="E150" s="2" t="s">
        <v>9</v>
      </c>
      <c r="F150" s="9" t="s">
        <v>4</v>
      </c>
      <c r="G150" s="9" t="str">
        <f t="shared" si="5"/>
        <v>Personal Care</v>
      </c>
      <c r="H150" s="25">
        <v>13.07</v>
      </c>
      <c r="I150" s="6">
        <v>19</v>
      </c>
      <c r="J150" s="25">
        <v>17.38</v>
      </c>
      <c r="K150" s="25">
        <v>265.70999999999998</v>
      </c>
      <c r="L150" s="9">
        <v>26</v>
      </c>
      <c r="M150" s="39" t="str">
        <f t="shared" si="4"/>
        <v>Normal Transaction</v>
      </c>
    </row>
    <row r="151" spans="1:13" x14ac:dyDescent="0.35">
      <c r="A151" s="27">
        <v>150</v>
      </c>
      <c r="B151" s="2" t="s">
        <v>31</v>
      </c>
      <c r="C151" s="2" t="s">
        <v>1</v>
      </c>
      <c r="D151" s="2" t="s">
        <v>8</v>
      </c>
      <c r="E151" s="2" t="s">
        <v>9</v>
      </c>
      <c r="F151" s="9" t="s">
        <v>10</v>
      </c>
      <c r="G151" s="9" t="str">
        <f t="shared" si="5"/>
        <v>Stationery</v>
      </c>
      <c r="H151" s="25">
        <v>5.83</v>
      </c>
      <c r="I151" s="6">
        <v>14</v>
      </c>
      <c r="J151" s="25">
        <v>5.71</v>
      </c>
      <c r="K151" s="25">
        <v>87.33</v>
      </c>
      <c r="L151" s="9">
        <v>0</v>
      </c>
      <c r="M151" s="39" t="str">
        <f t="shared" si="4"/>
        <v>Normal Transaction</v>
      </c>
    </row>
    <row r="152" spans="1:13" x14ac:dyDescent="0.35">
      <c r="A152" s="27">
        <v>151</v>
      </c>
      <c r="B152" s="2" t="s">
        <v>0</v>
      </c>
      <c r="C152" s="2" t="s">
        <v>14</v>
      </c>
      <c r="D152" s="2" t="s">
        <v>8</v>
      </c>
      <c r="E152" s="2" t="s">
        <v>3</v>
      </c>
      <c r="F152" s="9" t="s">
        <v>4</v>
      </c>
      <c r="G152" s="9" t="str">
        <f t="shared" si="5"/>
        <v>Personal Care</v>
      </c>
      <c r="H152" s="25">
        <v>20.059999999999999</v>
      </c>
      <c r="I152" s="6">
        <v>14</v>
      </c>
      <c r="J152" s="25">
        <v>19.66</v>
      </c>
      <c r="K152" s="25">
        <v>300.5</v>
      </c>
      <c r="L152" s="9">
        <v>0</v>
      </c>
      <c r="M152" s="39" t="str">
        <f t="shared" si="4"/>
        <v>Normal Transaction</v>
      </c>
    </row>
    <row r="153" spans="1:13" x14ac:dyDescent="0.35">
      <c r="A153" s="27">
        <v>152</v>
      </c>
      <c r="B153" s="2" t="s">
        <v>0</v>
      </c>
      <c r="C153" s="2" t="s">
        <v>14</v>
      </c>
      <c r="D153" s="2" t="s">
        <v>8</v>
      </c>
      <c r="E153" s="2" t="s">
        <v>3</v>
      </c>
      <c r="F153" s="9" t="s">
        <v>17</v>
      </c>
      <c r="G153" s="9" t="str">
        <f t="shared" si="5"/>
        <v>Beverages</v>
      </c>
      <c r="H153" s="25">
        <v>19.89</v>
      </c>
      <c r="I153" s="6">
        <v>10</v>
      </c>
      <c r="J153" s="25">
        <v>13.92</v>
      </c>
      <c r="K153" s="25">
        <v>212.82</v>
      </c>
      <c r="L153" s="9">
        <v>0</v>
      </c>
      <c r="M153" s="39" t="str">
        <f t="shared" si="4"/>
        <v>Normal Transaction</v>
      </c>
    </row>
    <row r="154" spans="1:13" x14ac:dyDescent="0.35">
      <c r="A154" s="27">
        <v>153</v>
      </c>
      <c r="B154" s="2" t="s">
        <v>0</v>
      </c>
      <c r="C154" s="2" t="s">
        <v>14</v>
      </c>
      <c r="D154" s="2" t="s">
        <v>8</v>
      </c>
      <c r="E154" s="2" t="s">
        <v>3</v>
      </c>
      <c r="F154" s="9" t="s">
        <v>10</v>
      </c>
      <c r="G154" s="9" t="str">
        <f t="shared" si="5"/>
        <v>Stationery</v>
      </c>
      <c r="H154" s="25">
        <v>5.56</v>
      </c>
      <c r="I154" s="6">
        <v>19</v>
      </c>
      <c r="J154" s="25">
        <v>7.39</v>
      </c>
      <c r="K154" s="25">
        <v>113.03</v>
      </c>
      <c r="L154" s="9">
        <v>0</v>
      </c>
      <c r="M154" s="39" t="str">
        <f t="shared" si="4"/>
        <v>Normal Transaction</v>
      </c>
    </row>
    <row r="155" spans="1:13" x14ac:dyDescent="0.35">
      <c r="A155" s="27">
        <v>154</v>
      </c>
      <c r="B155" s="2" t="s">
        <v>6</v>
      </c>
      <c r="C155" s="2" t="s">
        <v>7</v>
      </c>
      <c r="D155" s="2" t="s">
        <v>8</v>
      </c>
      <c r="E155" s="2" t="s">
        <v>3</v>
      </c>
      <c r="F155" s="9" t="s">
        <v>15</v>
      </c>
      <c r="G155" s="9" t="str">
        <f t="shared" si="5"/>
        <v>Household</v>
      </c>
      <c r="H155" s="25">
        <v>17.21</v>
      </c>
      <c r="I155" s="6">
        <v>1</v>
      </c>
      <c r="J155" s="25">
        <v>1.2</v>
      </c>
      <c r="K155" s="25">
        <v>18.41</v>
      </c>
      <c r="L155" s="9">
        <v>0</v>
      </c>
      <c r="M155" s="39" t="str">
        <f t="shared" si="4"/>
        <v>Normal Transaction</v>
      </c>
    </row>
    <row r="156" spans="1:13" x14ac:dyDescent="0.35">
      <c r="A156" s="27">
        <v>155</v>
      </c>
      <c r="B156" s="2" t="s">
        <v>0</v>
      </c>
      <c r="C156" s="2" t="s">
        <v>14</v>
      </c>
      <c r="D156" s="2" t="s">
        <v>2</v>
      </c>
      <c r="E156" s="2" t="s">
        <v>3</v>
      </c>
      <c r="F156" s="9" t="s">
        <v>12</v>
      </c>
      <c r="G156" s="9" t="str">
        <f t="shared" si="5"/>
        <v>Fruits</v>
      </c>
      <c r="H156" s="25">
        <v>11.38</v>
      </c>
      <c r="I156" s="6">
        <v>11</v>
      </c>
      <c r="J156" s="25">
        <v>8.76</v>
      </c>
      <c r="K156" s="25">
        <v>133.94</v>
      </c>
      <c r="L156" s="9">
        <v>13</v>
      </c>
      <c r="M156" s="39" t="str">
        <f t="shared" si="4"/>
        <v>Normal Transaction</v>
      </c>
    </row>
    <row r="157" spans="1:13" x14ac:dyDescent="0.35">
      <c r="A157" s="27">
        <v>156</v>
      </c>
      <c r="B157" s="2" t="s">
        <v>0</v>
      </c>
      <c r="C157" s="2" t="s">
        <v>14</v>
      </c>
      <c r="D157" s="2" t="s">
        <v>2</v>
      </c>
      <c r="E157" s="2" t="s">
        <v>3</v>
      </c>
      <c r="F157" s="9" t="s">
        <v>17</v>
      </c>
      <c r="G157" s="9" t="str">
        <f t="shared" si="5"/>
        <v>Beverages</v>
      </c>
      <c r="H157" s="25">
        <v>5.33</v>
      </c>
      <c r="I157" s="6">
        <v>20</v>
      </c>
      <c r="J157" s="25">
        <v>7.46</v>
      </c>
      <c r="K157" s="25">
        <v>114.06</v>
      </c>
      <c r="L157" s="9">
        <v>11</v>
      </c>
      <c r="M157" s="39" t="str">
        <f t="shared" si="4"/>
        <v>Normal Transaction</v>
      </c>
    </row>
    <row r="158" spans="1:13" x14ac:dyDescent="0.35">
      <c r="A158" s="27">
        <v>157</v>
      </c>
      <c r="B158" s="2" t="s">
        <v>31</v>
      </c>
      <c r="C158" s="2" t="s">
        <v>1</v>
      </c>
      <c r="D158" s="2" t="s">
        <v>8</v>
      </c>
      <c r="E158" s="2" t="s">
        <v>9</v>
      </c>
      <c r="F158" s="9" t="s">
        <v>4</v>
      </c>
      <c r="G158" s="9" t="str">
        <f t="shared" si="5"/>
        <v>Personal Care</v>
      </c>
      <c r="H158" s="25">
        <v>18.79</v>
      </c>
      <c r="I158" s="6">
        <v>20</v>
      </c>
      <c r="J158" s="25">
        <v>26.31</v>
      </c>
      <c r="K158" s="25">
        <v>402.11</v>
      </c>
      <c r="L158" s="9">
        <v>0</v>
      </c>
      <c r="M158" s="39" t="str">
        <f t="shared" si="4"/>
        <v>Outlier (Extreme Spend)</v>
      </c>
    </row>
    <row r="159" spans="1:13" x14ac:dyDescent="0.35">
      <c r="A159" s="27">
        <v>158</v>
      </c>
      <c r="B159" s="2" t="s">
        <v>31</v>
      </c>
      <c r="C159" s="2" t="s">
        <v>1</v>
      </c>
      <c r="D159" s="2" t="s">
        <v>8</v>
      </c>
      <c r="E159" s="2" t="s">
        <v>3</v>
      </c>
      <c r="F159" s="9" t="s">
        <v>4</v>
      </c>
      <c r="G159" s="9" t="str">
        <f t="shared" si="5"/>
        <v>Personal Care</v>
      </c>
      <c r="H159" s="25">
        <v>19.04</v>
      </c>
      <c r="I159" s="6">
        <v>1</v>
      </c>
      <c r="J159" s="25">
        <v>1.33</v>
      </c>
      <c r="K159" s="25">
        <v>20.37</v>
      </c>
      <c r="L159" s="9">
        <v>0</v>
      </c>
      <c r="M159" s="39" t="str">
        <f t="shared" si="4"/>
        <v>Normal Transaction</v>
      </c>
    </row>
    <row r="160" spans="1:13" x14ac:dyDescent="0.35">
      <c r="A160" s="27">
        <v>159</v>
      </c>
      <c r="B160" s="2" t="s">
        <v>31</v>
      </c>
      <c r="C160" s="2" t="s">
        <v>1</v>
      </c>
      <c r="D160" s="2" t="s">
        <v>8</v>
      </c>
      <c r="E160" s="2" t="s">
        <v>9</v>
      </c>
      <c r="F160" s="9" t="s">
        <v>10</v>
      </c>
      <c r="G160" s="9" t="str">
        <f t="shared" si="5"/>
        <v>Stationery</v>
      </c>
      <c r="H160" s="25">
        <v>19.82</v>
      </c>
      <c r="I160" s="6">
        <v>11</v>
      </c>
      <c r="J160" s="25">
        <v>15.26</v>
      </c>
      <c r="K160" s="25">
        <v>233.28</v>
      </c>
      <c r="L160" s="9">
        <v>0</v>
      </c>
      <c r="M160" s="39" t="str">
        <f t="shared" si="4"/>
        <v>Normal Transaction</v>
      </c>
    </row>
    <row r="161" spans="1:13" x14ac:dyDescent="0.35">
      <c r="A161" s="27">
        <v>160</v>
      </c>
      <c r="B161" s="2" t="s">
        <v>0</v>
      </c>
      <c r="C161" s="2" t="s">
        <v>14</v>
      </c>
      <c r="D161" s="2" t="s">
        <v>2</v>
      </c>
      <c r="E161" s="2" t="s">
        <v>9</v>
      </c>
      <c r="F161" s="9" t="s">
        <v>17</v>
      </c>
      <c r="G161" s="9" t="str">
        <f t="shared" si="5"/>
        <v>Beverages</v>
      </c>
      <c r="H161" s="25">
        <v>9.31</v>
      </c>
      <c r="I161" s="6">
        <v>2</v>
      </c>
      <c r="J161" s="25">
        <v>1.3</v>
      </c>
      <c r="K161" s="25">
        <v>19.920000000000002</v>
      </c>
      <c r="L161" s="9">
        <v>1</v>
      </c>
      <c r="M161" s="39" t="str">
        <f t="shared" si="4"/>
        <v>Normal Transaction</v>
      </c>
    </row>
    <row r="162" spans="1:13" x14ac:dyDescent="0.35">
      <c r="A162" s="27">
        <v>161</v>
      </c>
      <c r="B162" s="2" t="s">
        <v>0</v>
      </c>
      <c r="C162" s="2" t="s">
        <v>14</v>
      </c>
      <c r="D162" s="2" t="s">
        <v>2</v>
      </c>
      <c r="E162" s="2" t="s">
        <v>3</v>
      </c>
      <c r="F162" s="9" t="s">
        <v>17</v>
      </c>
      <c r="G162" s="9" t="str">
        <f t="shared" si="5"/>
        <v>Beverages</v>
      </c>
      <c r="H162" s="25">
        <v>20.91</v>
      </c>
      <c r="I162" s="6">
        <v>19</v>
      </c>
      <c r="J162" s="25">
        <v>27.81</v>
      </c>
      <c r="K162" s="25">
        <v>425.1</v>
      </c>
      <c r="L162" s="9">
        <v>42</v>
      </c>
      <c r="M162" s="39" t="str">
        <f t="shared" si="4"/>
        <v>Outlier (Extreme Spend)</v>
      </c>
    </row>
    <row r="163" spans="1:13" x14ac:dyDescent="0.35">
      <c r="A163" s="27">
        <v>162</v>
      </c>
      <c r="B163" s="2" t="s">
        <v>31</v>
      </c>
      <c r="C163" s="2" t="s">
        <v>1</v>
      </c>
      <c r="D163" s="2" t="s">
        <v>2</v>
      </c>
      <c r="E163" s="2" t="s">
        <v>9</v>
      </c>
      <c r="F163" s="9" t="s">
        <v>4</v>
      </c>
      <c r="G163" s="9" t="str">
        <f t="shared" si="5"/>
        <v>Personal Care</v>
      </c>
      <c r="H163" s="25">
        <v>15.06</v>
      </c>
      <c r="I163" s="6">
        <v>4</v>
      </c>
      <c r="J163" s="25">
        <v>4.22</v>
      </c>
      <c r="K163" s="25">
        <v>64.459999999999994</v>
      </c>
      <c r="L163" s="9">
        <v>6</v>
      </c>
      <c r="M163" s="39" t="str">
        <f t="shared" si="4"/>
        <v>Normal Transaction</v>
      </c>
    </row>
    <row r="164" spans="1:13" x14ac:dyDescent="0.35">
      <c r="A164" s="27">
        <v>163</v>
      </c>
      <c r="B164" s="2" t="s">
        <v>6</v>
      </c>
      <c r="C164" s="2" t="s">
        <v>7</v>
      </c>
      <c r="D164" s="2" t="s">
        <v>8</v>
      </c>
      <c r="E164" s="2" t="s">
        <v>3</v>
      </c>
      <c r="F164" s="9" t="s">
        <v>17</v>
      </c>
      <c r="G164" s="9" t="str">
        <f t="shared" si="5"/>
        <v>Beverages</v>
      </c>
      <c r="H164" s="25">
        <v>17.61</v>
      </c>
      <c r="I164" s="6">
        <v>11</v>
      </c>
      <c r="J164" s="25">
        <v>13.56</v>
      </c>
      <c r="K164" s="25">
        <v>207.27</v>
      </c>
      <c r="L164" s="9">
        <v>0</v>
      </c>
      <c r="M164" s="39" t="str">
        <f t="shared" si="4"/>
        <v>Normal Transaction</v>
      </c>
    </row>
    <row r="165" spans="1:13" x14ac:dyDescent="0.35">
      <c r="A165" s="27">
        <v>164</v>
      </c>
      <c r="B165" s="2" t="s">
        <v>6</v>
      </c>
      <c r="C165" s="2" t="s">
        <v>7</v>
      </c>
      <c r="D165" s="2" t="s">
        <v>8</v>
      </c>
      <c r="E165" s="2" t="s">
        <v>3</v>
      </c>
      <c r="F165" s="9" t="s">
        <v>10</v>
      </c>
      <c r="G165" s="9" t="str">
        <f t="shared" si="5"/>
        <v>Stationery</v>
      </c>
      <c r="H165" s="25">
        <v>20.76</v>
      </c>
      <c r="I165" s="6">
        <v>8</v>
      </c>
      <c r="J165" s="25">
        <v>11.63</v>
      </c>
      <c r="K165" s="25">
        <v>177.71</v>
      </c>
      <c r="L165" s="9">
        <v>0</v>
      </c>
      <c r="M165" s="39" t="str">
        <f t="shared" si="4"/>
        <v>Normal Transaction</v>
      </c>
    </row>
    <row r="166" spans="1:13" x14ac:dyDescent="0.35">
      <c r="A166" s="27">
        <v>165</v>
      </c>
      <c r="B166" s="2" t="s">
        <v>0</v>
      </c>
      <c r="C166" s="2" t="s">
        <v>14</v>
      </c>
      <c r="D166" s="2" t="s">
        <v>2</v>
      </c>
      <c r="E166" s="2" t="s">
        <v>9</v>
      </c>
      <c r="F166" s="9" t="s">
        <v>15</v>
      </c>
      <c r="G166" s="9" t="str">
        <f t="shared" si="5"/>
        <v>Household</v>
      </c>
      <c r="H166" s="25">
        <v>11.92</v>
      </c>
      <c r="I166" s="6">
        <v>18</v>
      </c>
      <c r="J166" s="25">
        <v>15.02</v>
      </c>
      <c r="K166" s="25">
        <v>229.58</v>
      </c>
      <c r="L166" s="9">
        <v>22</v>
      </c>
      <c r="M166" s="39" t="str">
        <f t="shared" si="4"/>
        <v>Normal Transaction</v>
      </c>
    </row>
    <row r="167" spans="1:13" x14ac:dyDescent="0.35">
      <c r="A167" s="27">
        <v>166</v>
      </c>
      <c r="B167" s="2" t="s">
        <v>6</v>
      </c>
      <c r="C167" s="2" t="s">
        <v>7</v>
      </c>
      <c r="D167" s="2" t="s">
        <v>8</v>
      </c>
      <c r="E167" s="2" t="s">
        <v>3</v>
      </c>
      <c r="F167" s="9" t="s">
        <v>15</v>
      </c>
      <c r="G167" s="9" t="str">
        <f t="shared" si="5"/>
        <v>Household</v>
      </c>
      <c r="H167" s="25">
        <v>14.17</v>
      </c>
      <c r="I167" s="6">
        <v>18</v>
      </c>
      <c r="J167" s="25">
        <v>17.850000000000001</v>
      </c>
      <c r="K167" s="25">
        <v>272.91000000000003</v>
      </c>
      <c r="L167" s="9">
        <v>0</v>
      </c>
      <c r="M167" s="39" t="str">
        <f t="shared" si="4"/>
        <v>Normal Transaction</v>
      </c>
    </row>
    <row r="168" spans="1:13" x14ac:dyDescent="0.35">
      <c r="A168" s="27">
        <v>167</v>
      </c>
      <c r="B168" s="2" t="s">
        <v>6</v>
      </c>
      <c r="C168" s="2" t="s">
        <v>7</v>
      </c>
      <c r="D168" s="2" t="s">
        <v>8</v>
      </c>
      <c r="E168" s="2" t="s">
        <v>3</v>
      </c>
      <c r="F168" s="9" t="s">
        <v>12</v>
      </c>
      <c r="G168" s="9" t="str">
        <f t="shared" si="5"/>
        <v>Fruits</v>
      </c>
      <c r="H168" s="25">
        <v>6.56</v>
      </c>
      <c r="I168" s="6">
        <v>10</v>
      </c>
      <c r="J168" s="25">
        <v>4.59</v>
      </c>
      <c r="K168" s="25">
        <v>70.19</v>
      </c>
      <c r="L168" s="9">
        <v>0</v>
      </c>
      <c r="M168" s="39" t="str">
        <f t="shared" si="4"/>
        <v>Normal Transaction</v>
      </c>
    </row>
    <row r="169" spans="1:13" x14ac:dyDescent="0.35">
      <c r="A169" s="27">
        <v>168</v>
      </c>
      <c r="B169" s="2" t="s">
        <v>0</v>
      </c>
      <c r="C169" s="2" t="s">
        <v>14</v>
      </c>
      <c r="D169" s="2" t="s">
        <v>2</v>
      </c>
      <c r="E169" s="2" t="s">
        <v>3</v>
      </c>
      <c r="F169" s="9" t="s">
        <v>15</v>
      </c>
      <c r="G169" s="9" t="str">
        <f t="shared" si="5"/>
        <v>Household</v>
      </c>
      <c r="H169" s="25">
        <v>9.6300000000000008</v>
      </c>
      <c r="I169" s="6">
        <v>12</v>
      </c>
      <c r="J169" s="25">
        <v>8.09</v>
      </c>
      <c r="K169" s="25">
        <v>123.65</v>
      </c>
      <c r="L169" s="9">
        <v>12</v>
      </c>
      <c r="M169" s="39" t="str">
        <f t="shared" si="4"/>
        <v>Normal Transaction</v>
      </c>
    </row>
    <row r="170" spans="1:13" x14ac:dyDescent="0.35">
      <c r="A170" s="27">
        <v>169</v>
      </c>
      <c r="B170" s="2" t="s">
        <v>31</v>
      </c>
      <c r="C170" s="2" t="s">
        <v>1</v>
      </c>
      <c r="D170" s="2" t="s">
        <v>2</v>
      </c>
      <c r="E170" s="2" t="s">
        <v>3</v>
      </c>
      <c r="F170" s="9" t="s">
        <v>17</v>
      </c>
      <c r="G170" s="9" t="str">
        <f t="shared" si="5"/>
        <v>Beverages</v>
      </c>
      <c r="H170" s="25">
        <v>17.989999999999998</v>
      </c>
      <c r="I170" s="6">
        <v>4</v>
      </c>
      <c r="J170" s="25">
        <v>5.04</v>
      </c>
      <c r="K170" s="25">
        <v>77</v>
      </c>
      <c r="L170" s="9">
        <v>7</v>
      </c>
      <c r="M170" s="39" t="str">
        <f t="shared" si="4"/>
        <v>Normal Transaction</v>
      </c>
    </row>
    <row r="171" spans="1:13" x14ac:dyDescent="0.35">
      <c r="A171" s="27">
        <v>170</v>
      </c>
      <c r="B171" s="2" t="s">
        <v>6</v>
      </c>
      <c r="C171" s="2" t="s">
        <v>7</v>
      </c>
      <c r="D171" s="2" t="s">
        <v>8</v>
      </c>
      <c r="E171" s="2" t="s">
        <v>9</v>
      </c>
      <c r="F171" s="9" t="s">
        <v>15</v>
      </c>
      <c r="G171" s="9" t="str">
        <f t="shared" si="5"/>
        <v>Household</v>
      </c>
      <c r="H171" s="25">
        <v>5.36</v>
      </c>
      <c r="I171" s="6">
        <v>12</v>
      </c>
      <c r="J171" s="25">
        <v>4.5</v>
      </c>
      <c r="K171" s="25">
        <v>68.819999999999993</v>
      </c>
      <c r="L171" s="9">
        <v>0</v>
      </c>
      <c r="M171" s="39" t="str">
        <f t="shared" si="4"/>
        <v>Normal Transaction</v>
      </c>
    </row>
    <row r="172" spans="1:13" x14ac:dyDescent="0.35">
      <c r="A172" s="27">
        <v>171</v>
      </c>
      <c r="B172" s="2" t="s">
        <v>31</v>
      </c>
      <c r="C172" s="2" t="s">
        <v>1</v>
      </c>
      <c r="D172" s="2" t="s">
        <v>2</v>
      </c>
      <c r="E172" s="2" t="s">
        <v>9</v>
      </c>
      <c r="F172" s="9" t="s">
        <v>17</v>
      </c>
      <c r="G172" s="9" t="str">
        <f t="shared" si="5"/>
        <v>Beverages</v>
      </c>
      <c r="H172" s="25">
        <v>11.53</v>
      </c>
      <c r="I172" s="6">
        <v>5</v>
      </c>
      <c r="J172" s="25">
        <v>4.04</v>
      </c>
      <c r="K172" s="25">
        <v>61.69</v>
      </c>
      <c r="L172" s="9">
        <v>6</v>
      </c>
      <c r="M172" s="39" t="str">
        <f t="shared" si="4"/>
        <v>Normal Transaction</v>
      </c>
    </row>
    <row r="173" spans="1:13" x14ac:dyDescent="0.35">
      <c r="A173" s="27">
        <v>172</v>
      </c>
      <c r="B173" s="2" t="s">
        <v>6</v>
      </c>
      <c r="C173" s="2" t="s">
        <v>7</v>
      </c>
      <c r="D173" s="2" t="s">
        <v>8</v>
      </c>
      <c r="E173" s="2" t="s">
        <v>9</v>
      </c>
      <c r="F173" s="9" t="s">
        <v>4</v>
      </c>
      <c r="G173" s="9" t="str">
        <f t="shared" si="5"/>
        <v>Personal Care</v>
      </c>
      <c r="H173" s="25">
        <v>14.82</v>
      </c>
      <c r="I173" s="6">
        <v>15</v>
      </c>
      <c r="J173" s="25">
        <v>15.56</v>
      </c>
      <c r="K173" s="25">
        <v>237.86</v>
      </c>
      <c r="L173" s="9">
        <v>0</v>
      </c>
      <c r="M173" s="39" t="str">
        <f t="shared" si="4"/>
        <v>Normal Transaction</v>
      </c>
    </row>
    <row r="174" spans="1:13" x14ac:dyDescent="0.35">
      <c r="A174" s="27">
        <v>173</v>
      </c>
      <c r="B174" s="2" t="s">
        <v>31</v>
      </c>
      <c r="C174" s="2" t="s">
        <v>1</v>
      </c>
      <c r="D174" s="2" t="s">
        <v>2</v>
      </c>
      <c r="E174" s="2" t="s">
        <v>9</v>
      </c>
      <c r="F174" s="9" t="s">
        <v>12</v>
      </c>
      <c r="G174" s="9" t="str">
        <f t="shared" si="5"/>
        <v>Fruits</v>
      </c>
      <c r="H174" s="25">
        <v>14.83</v>
      </c>
      <c r="I174" s="6">
        <v>20</v>
      </c>
      <c r="J174" s="25">
        <v>20.76</v>
      </c>
      <c r="K174" s="25">
        <v>317.36</v>
      </c>
      <c r="L174" s="9">
        <v>31</v>
      </c>
      <c r="M174" s="39" t="str">
        <f t="shared" si="4"/>
        <v>Normal Transaction</v>
      </c>
    </row>
    <row r="175" spans="1:13" x14ac:dyDescent="0.35">
      <c r="A175" s="27">
        <v>174</v>
      </c>
      <c r="B175" s="2" t="s">
        <v>6</v>
      </c>
      <c r="C175" s="2" t="s">
        <v>7</v>
      </c>
      <c r="D175" s="2" t="s">
        <v>2</v>
      </c>
      <c r="E175" s="2" t="s">
        <v>3</v>
      </c>
      <c r="F175" s="9" t="s">
        <v>4</v>
      </c>
      <c r="G175" s="9" t="str">
        <f t="shared" si="5"/>
        <v>Personal Care</v>
      </c>
      <c r="H175" s="25">
        <v>5.09</v>
      </c>
      <c r="I175" s="6">
        <v>3</v>
      </c>
      <c r="J175" s="25">
        <v>1.07</v>
      </c>
      <c r="K175" s="25">
        <v>16.34</v>
      </c>
      <c r="L175" s="9">
        <v>1</v>
      </c>
      <c r="M175" s="39" t="str">
        <f t="shared" si="4"/>
        <v>Normal Transaction</v>
      </c>
    </row>
    <row r="176" spans="1:13" x14ac:dyDescent="0.35">
      <c r="A176" s="27">
        <v>175</v>
      </c>
      <c r="B176" s="2" t="s">
        <v>31</v>
      </c>
      <c r="C176" s="2" t="s">
        <v>1</v>
      </c>
      <c r="D176" s="2" t="s">
        <v>8</v>
      </c>
      <c r="E176" s="2" t="s">
        <v>3</v>
      </c>
      <c r="F176" s="9" t="s">
        <v>15</v>
      </c>
      <c r="G176" s="9" t="str">
        <f t="shared" si="5"/>
        <v>Household</v>
      </c>
      <c r="H176" s="25">
        <v>17.32</v>
      </c>
      <c r="I176" s="6">
        <v>15</v>
      </c>
      <c r="J176" s="25">
        <v>18.190000000000001</v>
      </c>
      <c r="K176" s="25">
        <v>277.99</v>
      </c>
      <c r="L176" s="9">
        <v>0</v>
      </c>
      <c r="M176" s="39" t="str">
        <f t="shared" si="4"/>
        <v>Normal Transaction</v>
      </c>
    </row>
    <row r="177" spans="1:13" x14ac:dyDescent="0.35">
      <c r="A177" s="27">
        <v>176</v>
      </c>
      <c r="B177" s="2" t="s">
        <v>6</v>
      </c>
      <c r="C177" s="2" t="s">
        <v>7</v>
      </c>
      <c r="D177" s="2" t="s">
        <v>2</v>
      </c>
      <c r="E177" s="2" t="s">
        <v>9</v>
      </c>
      <c r="F177" s="9" t="s">
        <v>4</v>
      </c>
      <c r="G177" s="9" t="str">
        <f t="shared" si="5"/>
        <v>Personal Care</v>
      </c>
      <c r="H177" s="25">
        <v>14.31</v>
      </c>
      <c r="I177" s="6">
        <v>1</v>
      </c>
      <c r="J177" s="25">
        <v>1</v>
      </c>
      <c r="K177" s="25">
        <v>15.31</v>
      </c>
      <c r="L177" s="9">
        <v>1</v>
      </c>
      <c r="M177" s="39" t="str">
        <f t="shared" si="4"/>
        <v>Normal Transaction</v>
      </c>
    </row>
    <row r="178" spans="1:13" x14ac:dyDescent="0.35">
      <c r="A178" s="27">
        <v>177</v>
      </c>
      <c r="B178" s="2" t="s">
        <v>6</v>
      </c>
      <c r="C178" s="2" t="s">
        <v>7</v>
      </c>
      <c r="D178" s="2" t="s">
        <v>2</v>
      </c>
      <c r="E178" s="2" t="s">
        <v>3</v>
      </c>
      <c r="F178" s="9" t="s">
        <v>17</v>
      </c>
      <c r="G178" s="9" t="str">
        <f t="shared" si="5"/>
        <v>Beverages</v>
      </c>
      <c r="H178" s="25">
        <v>1.21</v>
      </c>
      <c r="I178" s="6">
        <v>10</v>
      </c>
      <c r="J178" s="25">
        <v>0.85</v>
      </c>
      <c r="K178" s="25">
        <v>12.95</v>
      </c>
      <c r="L178" s="9">
        <v>1</v>
      </c>
      <c r="M178" s="39" t="str">
        <f t="shared" si="4"/>
        <v>Normal Transaction</v>
      </c>
    </row>
    <row r="179" spans="1:13" x14ac:dyDescent="0.35">
      <c r="A179" s="27">
        <v>178</v>
      </c>
      <c r="B179" s="2" t="s">
        <v>0</v>
      </c>
      <c r="C179" s="2" t="s">
        <v>14</v>
      </c>
      <c r="D179" s="2" t="s">
        <v>2</v>
      </c>
      <c r="E179" s="2" t="s">
        <v>3</v>
      </c>
      <c r="F179" s="9" t="s">
        <v>10</v>
      </c>
      <c r="G179" s="9" t="str">
        <f t="shared" si="5"/>
        <v>Stationery</v>
      </c>
      <c r="H179" s="25">
        <v>11.85</v>
      </c>
      <c r="I179" s="6">
        <v>10</v>
      </c>
      <c r="J179" s="25">
        <v>8.3000000000000007</v>
      </c>
      <c r="K179" s="25">
        <v>126.8</v>
      </c>
      <c r="L179" s="9">
        <v>12</v>
      </c>
      <c r="M179" s="39" t="str">
        <f t="shared" si="4"/>
        <v>Normal Transaction</v>
      </c>
    </row>
    <row r="180" spans="1:13" x14ac:dyDescent="0.35">
      <c r="A180" s="27">
        <v>179</v>
      </c>
      <c r="B180" s="2" t="s">
        <v>31</v>
      </c>
      <c r="C180" s="2" t="s">
        <v>1</v>
      </c>
      <c r="D180" s="2" t="s">
        <v>2</v>
      </c>
      <c r="E180" s="2" t="s">
        <v>3</v>
      </c>
      <c r="F180" s="9" t="s">
        <v>10</v>
      </c>
      <c r="G180" s="9" t="str">
        <f t="shared" si="5"/>
        <v>Stationery</v>
      </c>
      <c r="H180" s="25">
        <v>4.5999999999999996</v>
      </c>
      <c r="I180" s="6">
        <v>3</v>
      </c>
      <c r="J180" s="25">
        <v>0.97</v>
      </c>
      <c r="K180" s="25">
        <v>14.77</v>
      </c>
      <c r="L180" s="9">
        <v>1</v>
      </c>
      <c r="M180" s="39" t="str">
        <f t="shared" si="4"/>
        <v>Normal Transaction</v>
      </c>
    </row>
    <row r="181" spans="1:13" x14ac:dyDescent="0.35">
      <c r="A181" s="27">
        <v>180</v>
      </c>
      <c r="B181" s="2" t="s">
        <v>6</v>
      </c>
      <c r="C181" s="2" t="s">
        <v>7</v>
      </c>
      <c r="D181" s="2" t="s">
        <v>2</v>
      </c>
      <c r="E181" s="2" t="s">
        <v>9</v>
      </c>
      <c r="F181" s="9" t="s">
        <v>17</v>
      </c>
      <c r="G181" s="9" t="str">
        <f t="shared" si="5"/>
        <v>Beverages</v>
      </c>
      <c r="H181" s="25">
        <v>6.78</v>
      </c>
      <c r="I181" s="6">
        <v>4</v>
      </c>
      <c r="J181" s="25">
        <v>1.9</v>
      </c>
      <c r="K181" s="25">
        <v>29.02</v>
      </c>
      <c r="L181" s="9">
        <v>2</v>
      </c>
      <c r="M181" s="39" t="str">
        <f t="shared" si="4"/>
        <v>Normal Transaction</v>
      </c>
    </row>
    <row r="182" spans="1:13" x14ac:dyDescent="0.35">
      <c r="A182" s="27">
        <v>181</v>
      </c>
      <c r="B182" s="2" t="s">
        <v>6</v>
      </c>
      <c r="C182" s="2" t="s">
        <v>7</v>
      </c>
      <c r="D182" s="2" t="s">
        <v>2</v>
      </c>
      <c r="E182" s="2" t="s">
        <v>9</v>
      </c>
      <c r="F182" s="9" t="s">
        <v>10</v>
      </c>
      <c r="G182" s="9" t="str">
        <f t="shared" si="5"/>
        <v>Stationery</v>
      </c>
      <c r="H182" s="25">
        <v>15.13</v>
      </c>
      <c r="I182" s="6">
        <v>17</v>
      </c>
      <c r="J182" s="25">
        <v>18</v>
      </c>
      <c r="K182" s="25">
        <v>275.20999999999998</v>
      </c>
      <c r="L182" s="9">
        <v>27</v>
      </c>
      <c r="M182" s="39" t="str">
        <f t="shared" si="4"/>
        <v>Normal Transaction</v>
      </c>
    </row>
    <row r="183" spans="1:13" x14ac:dyDescent="0.35">
      <c r="A183" s="27">
        <v>182</v>
      </c>
      <c r="B183" s="2" t="s">
        <v>31</v>
      </c>
      <c r="C183" s="2" t="s">
        <v>1</v>
      </c>
      <c r="D183" s="2" t="s">
        <v>8</v>
      </c>
      <c r="E183" s="2" t="s">
        <v>9</v>
      </c>
      <c r="F183" s="9" t="s">
        <v>15</v>
      </c>
      <c r="G183" s="9" t="str">
        <f t="shared" si="5"/>
        <v>Household</v>
      </c>
      <c r="H183" s="25">
        <v>3.14</v>
      </c>
      <c r="I183" s="6">
        <v>8</v>
      </c>
      <c r="J183" s="25">
        <v>1.76</v>
      </c>
      <c r="K183" s="25">
        <v>26.88</v>
      </c>
      <c r="L183" s="9">
        <v>0</v>
      </c>
      <c r="M183" s="39" t="str">
        <f t="shared" si="4"/>
        <v>Normal Transaction</v>
      </c>
    </row>
    <row r="184" spans="1:13" x14ac:dyDescent="0.35">
      <c r="A184" s="27">
        <v>183</v>
      </c>
      <c r="B184" s="2" t="s">
        <v>0</v>
      </c>
      <c r="C184" s="2" t="s">
        <v>14</v>
      </c>
      <c r="D184" s="2" t="s">
        <v>8</v>
      </c>
      <c r="E184" s="2" t="s">
        <v>9</v>
      </c>
      <c r="F184" s="9" t="s">
        <v>10</v>
      </c>
      <c r="G184" s="9" t="str">
        <f t="shared" si="5"/>
        <v>Stationery</v>
      </c>
      <c r="H184" s="25">
        <v>4.37</v>
      </c>
      <c r="I184" s="6">
        <v>15</v>
      </c>
      <c r="J184" s="25">
        <v>4.59</v>
      </c>
      <c r="K184" s="25">
        <v>70.14</v>
      </c>
      <c r="L184" s="9">
        <v>0</v>
      </c>
      <c r="M184" s="39" t="str">
        <f t="shared" si="4"/>
        <v>Normal Transaction</v>
      </c>
    </row>
    <row r="185" spans="1:13" x14ac:dyDescent="0.35">
      <c r="A185" s="27">
        <v>184</v>
      </c>
      <c r="B185" s="2" t="s">
        <v>31</v>
      </c>
      <c r="C185" s="2" t="s">
        <v>1</v>
      </c>
      <c r="D185" s="2" t="s">
        <v>2</v>
      </c>
      <c r="E185" s="2" t="s">
        <v>9</v>
      </c>
      <c r="F185" s="9" t="s">
        <v>4</v>
      </c>
      <c r="G185" s="9" t="str">
        <f t="shared" si="5"/>
        <v>Personal Care</v>
      </c>
      <c r="H185" s="25">
        <v>18.7</v>
      </c>
      <c r="I185" s="6">
        <v>14</v>
      </c>
      <c r="J185" s="25">
        <v>18.329999999999998</v>
      </c>
      <c r="K185" s="25">
        <v>280.13</v>
      </c>
      <c r="L185" s="9">
        <v>28</v>
      </c>
      <c r="M185" s="39" t="str">
        <f t="shared" si="4"/>
        <v>Normal Transaction</v>
      </c>
    </row>
    <row r="186" spans="1:13" x14ac:dyDescent="0.35">
      <c r="A186" s="27">
        <v>185</v>
      </c>
      <c r="B186" s="2" t="s">
        <v>0</v>
      </c>
      <c r="C186" s="2" t="s">
        <v>14</v>
      </c>
      <c r="D186" s="2" t="s">
        <v>2</v>
      </c>
      <c r="E186" s="2" t="s">
        <v>9</v>
      </c>
      <c r="F186" s="9" t="s">
        <v>10</v>
      </c>
      <c r="G186" s="9" t="str">
        <f t="shared" si="5"/>
        <v>Stationery</v>
      </c>
      <c r="H186" s="25">
        <v>19.12</v>
      </c>
      <c r="I186" s="6">
        <v>16</v>
      </c>
      <c r="J186" s="25">
        <v>21.41</v>
      </c>
      <c r="K186" s="25">
        <v>327.33</v>
      </c>
      <c r="L186" s="9">
        <v>32</v>
      </c>
      <c r="M186" s="39" t="str">
        <f t="shared" si="4"/>
        <v>Normal Transaction</v>
      </c>
    </row>
    <row r="187" spans="1:13" x14ac:dyDescent="0.35">
      <c r="A187" s="27">
        <v>186</v>
      </c>
      <c r="B187" s="2" t="s">
        <v>6</v>
      </c>
      <c r="C187" s="2" t="s">
        <v>7</v>
      </c>
      <c r="D187" s="2" t="s">
        <v>2</v>
      </c>
      <c r="E187" s="2" t="s">
        <v>9</v>
      </c>
      <c r="F187" s="9" t="s">
        <v>10</v>
      </c>
      <c r="G187" s="9" t="str">
        <f t="shared" si="5"/>
        <v>Stationery</v>
      </c>
      <c r="H187" s="25">
        <v>11.99</v>
      </c>
      <c r="I187" s="6">
        <v>3</v>
      </c>
      <c r="J187" s="25">
        <v>2.52</v>
      </c>
      <c r="K187" s="25">
        <v>38.49</v>
      </c>
      <c r="L187" s="9">
        <v>3</v>
      </c>
      <c r="M187" s="39" t="str">
        <f t="shared" si="4"/>
        <v>Normal Transaction</v>
      </c>
    </row>
    <row r="188" spans="1:13" x14ac:dyDescent="0.35">
      <c r="A188" s="27">
        <v>187</v>
      </c>
      <c r="B188" s="2" t="s">
        <v>31</v>
      </c>
      <c r="C188" s="2" t="s">
        <v>1</v>
      </c>
      <c r="D188" s="2" t="s">
        <v>2</v>
      </c>
      <c r="E188" s="2" t="s">
        <v>3</v>
      </c>
      <c r="F188" s="9" t="s">
        <v>10</v>
      </c>
      <c r="G188" s="9" t="str">
        <f t="shared" si="5"/>
        <v>Stationery</v>
      </c>
      <c r="H188" s="25">
        <v>9.7200000000000006</v>
      </c>
      <c r="I188" s="6">
        <v>15</v>
      </c>
      <c r="J188" s="25">
        <v>10.210000000000001</v>
      </c>
      <c r="K188" s="25">
        <v>156.01</v>
      </c>
      <c r="L188" s="9">
        <v>15</v>
      </c>
      <c r="M188" s="39" t="str">
        <f t="shared" si="4"/>
        <v>Normal Transaction</v>
      </c>
    </row>
    <row r="189" spans="1:13" x14ac:dyDescent="0.35">
      <c r="A189" s="27">
        <v>188</v>
      </c>
      <c r="B189" s="2" t="s">
        <v>0</v>
      </c>
      <c r="C189" s="2" t="s">
        <v>14</v>
      </c>
      <c r="D189" s="2" t="s">
        <v>8</v>
      </c>
      <c r="E189" s="2" t="s">
        <v>3</v>
      </c>
      <c r="F189" s="9" t="s">
        <v>10</v>
      </c>
      <c r="G189" s="9" t="str">
        <f t="shared" si="5"/>
        <v>Stationery</v>
      </c>
      <c r="H189" s="25">
        <v>5.72</v>
      </c>
      <c r="I189" s="6">
        <v>5</v>
      </c>
      <c r="J189" s="25">
        <v>2</v>
      </c>
      <c r="K189" s="25">
        <v>30.6</v>
      </c>
      <c r="L189" s="9">
        <v>0</v>
      </c>
      <c r="M189" s="39" t="str">
        <f t="shared" si="4"/>
        <v>Normal Transaction</v>
      </c>
    </row>
    <row r="190" spans="1:13" x14ac:dyDescent="0.35">
      <c r="A190" s="27">
        <v>189</v>
      </c>
      <c r="B190" s="2" t="s">
        <v>0</v>
      </c>
      <c r="C190" s="2" t="s">
        <v>14</v>
      </c>
      <c r="D190" s="2" t="s">
        <v>2</v>
      </c>
      <c r="E190" s="2" t="s">
        <v>3</v>
      </c>
      <c r="F190" s="9" t="s">
        <v>4</v>
      </c>
      <c r="G190" s="9" t="str">
        <f t="shared" si="5"/>
        <v>Personal Care</v>
      </c>
      <c r="H190" s="25">
        <v>14.87</v>
      </c>
      <c r="I190" s="6">
        <v>3</v>
      </c>
      <c r="J190" s="25">
        <v>3.12</v>
      </c>
      <c r="K190" s="25">
        <v>47.73</v>
      </c>
      <c r="L190" s="9">
        <v>4</v>
      </c>
      <c r="M190" s="39" t="str">
        <f t="shared" si="4"/>
        <v>Normal Transaction</v>
      </c>
    </row>
    <row r="191" spans="1:13" x14ac:dyDescent="0.35">
      <c r="A191" s="27">
        <v>190</v>
      </c>
      <c r="B191" s="2" t="s">
        <v>6</v>
      </c>
      <c r="C191" s="2" t="s">
        <v>7</v>
      </c>
      <c r="D191" s="2" t="s">
        <v>2</v>
      </c>
      <c r="E191" s="2" t="s">
        <v>9</v>
      </c>
      <c r="F191" s="9" t="s">
        <v>4</v>
      </c>
      <c r="G191" s="9" t="str">
        <f t="shared" si="5"/>
        <v>Personal Care</v>
      </c>
      <c r="H191" s="25">
        <v>9.66</v>
      </c>
      <c r="I191" s="6">
        <v>11</v>
      </c>
      <c r="J191" s="25">
        <v>7.44</v>
      </c>
      <c r="K191" s="25">
        <v>113.7</v>
      </c>
      <c r="L191" s="9">
        <v>11</v>
      </c>
      <c r="M191" s="39" t="str">
        <f t="shared" si="4"/>
        <v>Normal Transaction</v>
      </c>
    </row>
    <row r="192" spans="1:13" x14ac:dyDescent="0.35">
      <c r="A192" s="27">
        <v>191</v>
      </c>
      <c r="B192" s="2" t="s">
        <v>31</v>
      </c>
      <c r="C192" s="2" t="s">
        <v>1</v>
      </c>
      <c r="D192" s="2" t="s">
        <v>2</v>
      </c>
      <c r="E192" s="2" t="s">
        <v>3</v>
      </c>
      <c r="F192" s="9" t="s">
        <v>17</v>
      </c>
      <c r="G192" s="9" t="str">
        <f t="shared" si="5"/>
        <v>Beverages</v>
      </c>
      <c r="H192" s="25">
        <v>3.57</v>
      </c>
      <c r="I192" s="6">
        <v>13</v>
      </c>
      <c r="J192" s="25">
        <v>3.25</v>
      </c>
      <c r="K192" s="25">
        <v>49.66</v>
      </c>
      <c r="L192" s="9">
        <v>4</v>
      </c>
      <c r="M192" s="39" t="str">
        <f t="shared" si="4"/>
        <v>Normal Transaction</v>
      </c>
    </row>
    <row r="193" spans="1:13" x14ac:dyDescent="0.35">
      <c r="A193" s="27">
        <v>192</v>
      </c>
      <c r="B193" s="2" t="s">
        <v>31</v>
      </c>
      <c r="C193" s="2" t="s">
        <v>1</v>
      </c>
      <c r="D193" s="2" t="s">
        <v>2</v>
      </c>
      <c r="E193" s="2" t="s">
        <v>9</v>
      </c>
      <c r="F193" s="9" t="s">
        <v>15</v>
      </c>
      <c r="G193" s="9" t="str">
        <f t="shared" si="5"/>
        <v>Household</v>
      </c>
      <c r="H193" s="25">
        <v>5.5</v>
      </c>
      <c r="I193" s="6">
        <v>10</v>
      </c>
      <c r="J193" s="25">
        <v>3.85</v>
      </c>
      <c r="K193" s="25">
        <v>58.85</v>
      </c>
      <c r="L193" s="9">
        <v>5</v>
      </c>
      <c r="M193" s="39" t="str">
        <f t="shared" si="4"/>
        <v>Normal Transaction</v>
      </c>
    </row>
    <row r="194" spans="1:13" x14ac:dyDescent="0.35">
      <c r="A194" s="27">
        <v>193</v>
      </c>
      <c r="B194" s="2" t="s">
        <v>6</v>
      </c>
      <c r="C194" s="2" t="s">
        <v>7</v>
      </c>
      <c r="D194" s="2" t="s">
        <v>8</v>
      </c>
      <c r="E194" s="2" t="s">
        <v>3</v>
      </c>
      <c r="F194" s="9" t="s">
        <v>12</v>
      </c>
      <c r="G194" s="9" t="str">
        <f t="shared" si="5"/>
        <v>Fruits</v>
      </c>
      <c r="H194" s="25">
        <v>2.4500000000000002</v>
      </c>
      <c r="I194" s="6">
        <v>3</v>
      </c>
      <c r="J194" s="25">
        <v>0.51</v>
      </c>
      <c r="K194" s="25">
        <v>7.86</v>
      </c>
      <c r="L194" s="9">
        <v>0</v>
      </c>
      <c r="M194" s="39" t="str">
        <f t="shared" ref="M194:M257" si="6">IF(K194 &gt; 382.93, "Outlier (Extreme Spend)", "Normal Transaction")</f>
        <v>Normal Transaction</v>
      </c>
    </row>
    <row r="195" spans="1:13" x14ac:dyDescent="0.35">
      <c r="A195" s="27">
        <v>194</v>
      </c>
      <c r="B195" s="2" t="s">
        <v>0</v>
      </c>
      <c r="C195" s="2" t="s">
        <v>14</v>
      </c>
      <c r="D195" s="2" t="s">
        <v>2</v>
      </c>
      <c r="E195" s="2" t="s">
        <v>9</v>
      </c>
      <c r="F195" s="9" t="s">
        <v>4</v>
      </c>
      <c r="G195" s="9" t="str">
        <f t="shared" ref="G195:G258" si="7">_xlfn.XLOOKUP(F195,$Q$2:$Q$6,$R$2:$R$6,"Unknown")</f>
        <v>Personal Care</v>
      </c>
      <c r="H195" s="25">
        <v>9.57</v>
      </c>
      <c r="I195" s="6">
        <v>4</v>
      </c>
      <c r="J195" s="25">
        <v>2.68</v>
      </c>
      <c r="K195" s="25">
        <v>40.96</v>
      </c>
      <c r="L195" s="9">
        <v>4</v>
      </c>
      <c r="M195" s="39" t="str">
        <f t="shared" si="6"/>
        <v>Normal Transaction</v>
      </c>
    </row>
    <row r="196" spans="1:13" x14ac:dyDescent="0.35">
      <c r="A196" s="27">
        <v>195</v>
      </c>
      <c r="B196" s="2" t="s">
        <v>6</v>
      </c>
      <c r="C196" s="2" t="s">
        <v>7</v>
      </c>
      <c r="D196" s="2" t="s">
        <v>2</v>
      </c>
      <c r="E196" s="2" t="s">
        <v>3</v>
      </c>
      <c r="F196" s="9" t="s">
        <v>10</v>
      </c>
      <c r="G196" s="9" t="str">
        <f t="shared" si="7"/>
        <v>Stationery</v>
      </c>
      <c r="H196" s="25">
        <v>2.61</v>
      </c>
      <c r="I196" s="6">
        <v>4</v>
      </c>
      <c r="J196" s="25">
        <v>0.73</v>
      </c>
      <c r="K196" s="25">
        <v>11.17</v>
      </c>
      <c r="L196" s="9">
        <v>1</v>
      </c>
      <c r="M196" s="39" t="str">
        <f t="shared" si="6"/>
        <v>Normal Transaction</v>
      </c>
    </row>
    <row r="197" spans="1:13" x14ac:dyDescent="0.35">
      <c r="A197" s="27">
        <v>196</v>
      </c>
      <c r="B197" s="2" t="s">
        <v>31</v>
      </c>
      <c r="C197" s="2" t="s">
        <v>1</v>
      </c>
      <c r="D197" s="2" t="s">
        <v>8</v>
      </c>
      <c r="E197" s="2" t="s">
        <v>9</v>
      </c>
      <c r="F197" s="9" t="s">
        <v>12</v>
      </c>
      <c r="G197" s="9" t="str">
        <f t="shared" si="7"/>
        <v>Fruits</v>
      </c>
      <c r="H197" s="25">
        <v>8.98</v>
      </c>
      <c r="I197" s="6">
        <v>6</v>
      </c>
      <c r="J197" s="25">
        <v>3.77</v>
      </c>
      <c r="K197" s="25">
        <v>57.65</v>
      </c>
      <c r="L197" s="9">
        <v>0</v>
      </c>
      <c r="M197" s="39" t="str">
        <f t="shared" si="6"/>
        <v>Normal Transaction</v>
      </c>
    </row>
    <row r="198" spans="1:13" x14ac:dyDescent="0.35">
      <c r="A198" s="27">
        <v>197</v>
      </c>
      <c r="B198" s="2" t="s">
        <v>31</v>
      </c>
      <c r="C198" s="2" t="s">
        <v>1</v>
      </c>
      <c r="D198" s="2" t="s">
        <v>2</v>
      </c>
      <c r="E198" s="2" t="s">
        <v>9</v>
      </c>
      <c r="F198" s="9" t="s">
        <v>10</v>
      </c>
      <c r="G198" s="9" t="str">
        <f t="shared" si="7"/>
        <v>Stationery</v>
      </c>
      <c r="H198" s="25">
        <v>19.489999999999998</v>
      </c>
      <c r="I198" s="6">
        <v>15</v>
      </c>
      <c r="J198" s="25">
        <v>20.46</v>
      </c>
      <c r="K198" s="25">
        <v>312.81</v>
      </c>
      <c r="L198" s="9">
        <v>31</v>
      </c>
      <c r="M198" s="39" t="str">
        <f t="shared" si="6"/>
        <v>Normal Transaction</v>
      </c>
    </row>
    <row r="199" spans="1:13" x14ac:dyDescent="0.35">
      <c r="A199" s="27">
        <v>198</v>
      </c>
      <c r="B199" s="2" t="s">
        <v>0</v>
      </c>
      <c r="C199" s="2" t="s">
        <v>14</v>
      </c>
      <c r="D199" s="2" t="s">
        <v>2</v>
      </c>
      <c r="E199" s="2" t="s">
        <v>3</v>
      </c>
      <c r="F199" s="9" t="s">
        <v>17</v>
      </c>
      <c r="G199" s="9" t="str">
        <f t="shared" si="7"/>
        <v>Beverages</v>
      </c>
      <c r="H199" s="25">
        <v>6.8</v>
      </c>
      <c r="I199" s="6">
        <v>18</v>
      </c>
      <c r="J199" s="25">
        <v>8.57</v>
      </c>
      <c r="K199" s="25">
        <v>130.97</v>
      </c>
      <c r="L199" s="9">
        <v>13</v>
      </c>
      <c r="M199" s="39" t="str">
        <f t="shared" si="6"/>
        <v>Normal Transaction</v>
      </c>
    </row>
    <row r="200" spans="1:13" x14ac:dyDescent="0.35">
      <c r="A200" s="27">
        <v>199</v>
      </c>
      <c r="B200" s="2" t="s">
        <v>6</v>
      </c>
      <c r="C200" s="2" t="s">
        <v>7</v>
      </c>
      <c r="D200" s="2" t="s">
        <v>2</v>
      </c>
      <c r="E200" s="2" t="s">
        <v>3</v>
      </c>
      <c r="F200" s="9" t="s">
        <v>10</v>
      </c>
      <c r="G200" s="9" t="str">
        <f t="shared" si="7"/>
        <v>Stationery</v>
      </c>
      <c r="H200" s="25">
        <v>9.84</v>
      </c>
      <c r="I200" s="6">
        <v>16</v>
      </c>
      <c r="J200" s="25">
        <v>11.02</v>
      </c>
      <c r="K200" s="25">
        <v>168.46</v>
      </c>
      <c r="L200" s="9">
        <v>16</v>
      </c>
      <c r="M200" s="39" t="str">
        <f t="shared" si="6"/>
        <v>Normal Transaction</v>
      </c>
    </row>
    <row r="201" spans="1:13" x14ac:dyDescent="0.35">
      <c r="A201" s="27">
        <v>200</v>
      </c>
      <c r="B201" s="2" t="s">
        <v>0</v>
      </c>
      <c r="C201" s="2" t="s">
        <v>14</v>
      </c>
      <c r="D201" s="2" t="s">
        <v>8</v>
      </c>
      <c r="E201" s="2" t="s">
        <v>9</v>
      </c>
      <c r="F201" s="9" t="s">
        <v>12</v>
      </c>
      <c r="G201" s="9" t="str">
        <f t="shared" si="7"/>
        <v>Fruits</v>
      </c>
      <c r="H201" s="25">
        <v>11.39</v>
      </c>
      <c r="I201" s="6">
        <v>6</v>
      </c>
      <c r="J201" s="25">
        <v>4.78</v>
      </c>
      <c r="K201" s="25">
        <v>73.12</v>
      </c>
      <c r="L201" s="9">
        <v>0</v>
      </c>
      <c r="M201" s="39" t="str">
        <f t="shared" si="6"/>
        <v>Normal Transaction</v>
      </c>
    </row>
    <row r="202" spans="1:13" x14ac:dyDescent="0.35">
      <c r="A202" s="27">
        <v>201</v>
      </c>
      <c r="B202" s="2" t="s">
        <v>31</v>
      </c>
      <c r="C202" s="2" t="s">
        <v>1</v>
      </c>
      <c r="D202" s="2" t="s">
        <v>8</v>
      </c>
      <c r="E202" s="2" t="s">
        <v>9</v>
      </c>
      <c r="F202" s="9" t="s">
        <v>15</v>
      </c>
      <c r="G202" s="9" t="str">
        <f t="shared" si="7"/>
        <v>Household</v>
      </c>
      <c r="H202" s="25">
        <v>8.3000000000000007</v>
      </c>
      <c r="I202" s="6">
        <v>13</v>
      </c>
      <c r="J202" s="25">
        <v>7.55</v>
      </c>
      <c r="K202" s="25">
        <v>115.45</v>
      </c>
      <c r="L202" s="9">
        <v>0</v>
      </c>
      <c r="M202" s="39" t="str">
        <f t="shared" si="6"/>
        <v>Normal Transaction</v>
      </c>
    </row>
    <row r="203" spans="1:13" x14ac:dyDescent="0.35">
      <c r="A203" s="27">
        <v>202</v>
      </c>
      <c r="B203" s="2" t="s">
        <v>31</v>
      </c>
      <c r="C203" s="2" t="s">
        <v>1</v>
      </c>
      <c r="D203" s="2" t="s">
        <v>2</v>
      </c>
      <c r="E203" s="2" t="s">
        <v>9</v>
      </c>
      <c r="F203" s="9" t="s">
        <v>15</v>
      </c>
      <c r="G203" s="9" t="str">
        <f t="shared" si="7"/>
        <v>Household</v>
      </c>
      <c r="H203" s="25">
        <v>10.9</v>
      </c>
      <c r="I203" s="6">
        <v>8</v>
      </c>
      <c r="J203" s="25">
        <v>6.1</v>
      </c>
      <c r="K203" s="25">
        <v>93.3</v>
      </c>
      <c r="L203" s="9">
        <v>9</v>
      </c>
      <c r="M203" s="39" t="str">
        <f t="shared" si="6"/>
        <v>Normal Transaction</v>
      </c>
    </row>
    <row r="204" spans="1:13" x14ac:dyDescent="0.35">
      <c r="A204" s="27">
        <v>203</v>
      </c>
      <c r="B204" s="2" t="s">
        <v>6</v>
      </c>
      <c r="C204" s="2" t="s">
        <v>7</v>
      </c>
      <c r="D204" s="2" t="s">
        <v>2</v>
      </c>
      <c r="E204" s="2" t="s">
        <v>9</v>
      </c>
      <c r="F204" s="9" t="s">
        <v>4</v>
      </c>
      <c r="G204" s="9" t="str">
        <f t="shared" si="7"/>
        <v>Personal Care</v>
      </c>
      <c r="H204" s="25">
        <v>3</v>
      </c>
      <c r="I204" s="6">
        <v>20</v>
      </c>
      <c r="J204" s="25">
        <v>4.2</v>
      </c>
      <c r="K204" s="25">
        <v>64.2</v>
      </c>
      <c r="L204" s="9">
        <v>6</v>
      </c>
      <c r="M204" s="39" t="str">
        <f t="shared" si="6"/>
        <v>Normal Transaction</v>
      </c>
    </row>
    <row r="205" spans="1:13" x14ac:dyDescent="0.35">
      <c r="A205" s="27">
        <v>204</v>
      </c>
      <c r="B205" s="2" t="s">
        <v>0</v>
      </c>
      <c r="C205" s="2" t="s">
        <v>14</v>
      </c>
      <c r="D205" s="2" t="s">
        <v>2</v>
      </c>
      <c r="E205" s="2" t="s">
        <v>9</v>
      </c>
      <c r="F205" s="9" t="s">
        <v>15</v>
      </c>
      <c r="G205" s="9" t="str">
        <f t="shared" si="7"/>
        <v>Household</v>
      </c>
      <c r="H205" s="25">
        <v>16.5</v>
      </c>
      <c r="I205" s="6">
        <v>10</v>
      </c>
      <c r="J205" s="25">
        <v>11.55</v>
      </c>
      <c r="K205" s="25">
        <v>176.55</v>
      </c>
      <c r="L205" s="9">
        <v>17</v>
      </c>
      <c r="M205" s="39" t="str">
        <f t="shared" si="6"/>
        <v>Normal Transaction</v>
      </c>
    </row>
    <row r="206" spans="1:13" x14ac:dyDescent="0.35">
      <c r="A206" s="27">
        <v>205</v>
      </c>
      <c r="B206" s="2" t="s">
        <v>31</v>
      </c>
      <c r="C206" s="2" t="s">
        <v>1</v>
      </c>
      <c r="D206" s="2" t="s">
        <v>8</v>
      </c>
      <c r="E206" s="2" t="s">
        <v>9</v>
      </c>
      <c r="F206" s="9" t="s">
        <v>17</v>
      </c>
      <c r="G206" s="9" t="str">
        <f t="shared" si="7"/>
        <v>Beverages</v>
      </c>
      <c r="H206" s="25">
        <v>20.059999999999999</v>
      </c>
      <c r="I206" s="6">
        <v>5</v>
      </c>
      <c r="J206" s="25">
        <v>7.02</v>
      </c>
      <c r="K206" s="25">
        <v>107.32</v>
      </c>
      <c r="L206" s="9">
        <v>0</v>
      </c>
      <c r="M206" s="39" t="str">
        <f t="shared" si="6"/>
        <v>Normal Transaction</v>
      </c>
    </row>
    <row r="207" spans="1:13" x14ac:dyDescent="0.35">
      <c r="A207" s="27">
        <v>206</v>
      </c>
      <c r="B207" s="2" t="s">
        <v>31</v>
      </c>
      <c r="C207" s="2" t="s">
        <v>1</v>
      </c>
      <c r="D207" s="2" t="s">
        <v>8</v>
      </c>
      <c r="E207" s="2" t="s">
        <v>9</v>
      </c>
      <c r="F207" s="9" t="s">
        <v>4</v>
      </c>
      <c r="G207" s="9" t="str">
        <f t="shared" si="7"/>
        <v>Personal Care</v>
      </c>
      <c r="H207" s="25">
        <v>10.73</v>
      </c>
      <c r="I207" s="6">
        <v>7</v>
      </c>
      <c r="J207" s="25">
        <v>5.26</v>
      </c>
      <c r="K207" s="25">
        <v>80.37</v>
      </c>
      <c r="L207" s="9">
        <v>0</v>
      </c>
      <c r="M207" s="39" t="str">
        <f t="shared" si="6"/>
        <v>Normal Transaction</v>
      </c>
    </row>
    <row r="208" spans="1:13" x14ac:dyDescent="0.35">
      <c r="A208" s="27">
        <v>207</v>
      </c>
      <c r="B208" s="2" t="s">
        <v>6</v>
      </c>
      <c r="C208" s="2" t="s">
        <v>7</v>
      </c>
      <c r="D208" s="2" t="s">
        <v>8</v>
      </c>
      <c r="E208" s="2" t="s">
        <v>9</v>
      </c>
      <c r="F208" s="9" t="s">
        <v>15</v>
      </c>
      <c r="G208" s="9" t="str">
        <f t="shared" si="7"/>
        <v>Household</v>
      </c>
      <c r="H208" s="25">
        <v>8.4600000000000009</v>
      </c>
      <c r="I208" s="6">
        <v>18</v>
      </c>
      <c r="J208" s="25">
        <v>10.66</v>
      </c>
      <c r="K208" s="25">
        <v>162.94</v>
      </c>
      <c r="L208" s="9">
        <v>0</v>
      </c>
      <c r="M208" s="39" t="str">
        <f t="shared" si="6"/>
        <v>Normal Transaction</v>
      </c>
    </row>
    <row r="209" spans="1:13" x14ac:dyDescent="0.35">
      <c r="A209" s="27">
        <v>208</v>
      </c>
      <c r="B209" s="2" t="s">
        <v>31</v>
      </c>
      <c r="C209" s="2" t="s">
        <v>1</v>
      </c>
      <c r="D209" s="2" t="s">
        <v>2</v>
      </c>
      <c r="E209" s="2" t="s">
        <v>9</v>
      </c>
      <c r="F209" s="9" t="s">
        <v>4</v>
      </c>
      <c r="G209" s="9" t="str">
        <f t="shared" si="7"/>
        <v>Personal Care</v>
      </c>
      <c r="H209" s="25">
        <v>6.76</v>
      </c>
      <c r="I209" s="6">
        <v>20</v>
      </c>
      <c r="J209" s="25">
        <v>9.4600000000000009</v>
      </c>
      <c r="K209" s="25">
        <v>144.66</v>
      </c>
      <c r="L209" s="9">
        <v>14</v>
      </c>
      <c r="M209" s="39" t="str">
        <f t="shared" si="6"/>
        <v>Normal Transaction</v>
      </c>
    </row>
    <row r="210" spans="1:13" x14ac:dyDescent="0.35">
      <c r="A210" s="27">
        <v>209</v>
      </c>
      <c r="B210" s="2" t="s">
        <v>6</v>
      </c>
      <c r="C210" s="2" t="s">
        <v>7</v>
      </c>
      <c r="D210" s="2" t="s">
        <v>8</v>
      </c>
      <c r="E210" s="2" t="s">
        <v>3</v>
      </c>
      <c r="F210" s="9" t="s">
        <v>17</v>
      </c>
      <c r="G210" s="9" t="str">
        <f t="shared" si="7"/>
        <v>Beverages</v>
      </c>
      <c r="H210" s="25">
        <v>8.7100000000000009</v>
      </c>
      <c r="I210" s="6">
        <v>7</v>
      </c>
      <c r="J210" s="25">
        <v>4.2699999999999996</v>
      </c>
      <c r="K210" s="25">
        <v>65.239999999999995</v>
      </c>
      <c r="L210" s="9">
        <v>0</v>
      </c>
      <c r="M210" s="39" t="str">
        <f t="shared" si="6"/>
        <v>Normal Transaction</v>
      </c>
    </row>
    <row r="211" spans="1:13" x14ac:dyDescent="0.35">
      <c r="A211" s="27">
        <v>210</v>
      </c>
      <c r="B211" s="2" t="s">
        <v>6</v>
      </c>
      <c r="C211" s="2" t="s">
        <v>7</v>
      </c>
      <c r="D211" s="2" t="s">
        <v>2</v>
      </c>
      <c r="E211" s="2" t="s">
        <v>9</v>
      </c>
      <c r="F211" s="9" t="s">
        <v>10</v>
      </c>
      <c r="G211" s="9" t="str">
        <f t="shared" si="7"/>
        <v>Stationery</v>
      </c>
      <c r="H211" s="25">
        <v>6.91</v>
      </c>
      <c r="I211" s="6">
        <v>18</v>
      </c>
      <c r="J211" s="25">
        <v>8.7100000000000009</v>
      </c>
      <c r="K211" s="25">
        <v>133.09</v>
      </c>
      <c r="L211" s="9">
        <v>13</v>
      </c>
      <c r="M211" s="39" t="str">
        <f t="shared" si="6"/>
        <v>Normal Transaction</v>
      </c>
    </row>
    <row r="212" spans="1:13" x14ac:dyDescent="0.35">
      <c r="A212" s="27">
        <v>211</v>
      </c>
      <c r="B212" s="2" t="s">
        <v>0</v>
      </c>
      <c r="C212" s="2" t="s">
        <v>14</v>
      </c>
      <c r="D212" s="2" t="s">
        <v>2</v>
      </c>
      <c r="E212" s="2" t="s">
        <v>9</v>
      </c>
      <c r="F212" s="9" t="s">
        <v>10</v>
      </c>
      <c r="G212" s="9" t="str">
        <f t="shared" si="7"/>
        <v>Stationery</v>
      </c>
      <c r="H212" s="25">
        <v>16.18</v>
      </c>
      <c r="I212" s="6">
        <v>15</v>
      </c>
      <c r="J212" s="25">
        <v>16.989999999999998</v>
      </c>
      <c r="K212" s="25">
        <v>259.69</v>
      </c>
      <c r="L212" s="9">
        <v>25</v>
      </c>
      <c r="M212" s="39" t="str">
        <f t="shared" si="6"/>
        <v>Normal Transaction</v>
      </c>
    </row>
    <row r="213" spans="1:13" x14ac:dyDescent="0.35">
      <c r="A213" s="27">
        <v>212</v>
      </c>
      <c r="B213" s="2" t="s">
        <v>0</v>
      </c>
      <c r="C213" s="2" t="s">
        <v>14</v>
      </c>
      <c r="D213" s="2" t="s">
        <v>2</v>
      </c>
      <c r="E213" s="2" t="s">
        <v>9</v>
      </c>
      <c r="F213" s="9" t="s">
        <v>15</v>
      </c>
      <c r="G213" s="9" t="str">
        <f t="shared" si="7"/>
        <v>Household</v>
      </c>
      <c r="H213" s="25">
        <v>12.5</v>
      </c>
      <c r="I213" s="6">
        <v>17</v>
      </c>
      <c r="J213" s="25">
        <v>14.88</v>
      </c>
      <c r="K213" s="25">
        <v>227.38</v>
      </c>
      <c r="L213" s="9">
        <v>22</v>
      </c>
      <c r="M213" s="39" t="str">
        <f t="shared" si="6"/>
        <v>Normal Transaction</v>
      </c>
    </row>
    <row r="214" spans="1:13" x14ac:dyDescent="0.35">
      <c r="A214" s="27">
        <v>213</v>
      </c>
      <c r="B214" s="2" t="s">
        <v>31</v>
      </c>
      <c r="C214" s="2" t="s">
        <v>1</v>
      </c>
      <c r="D214" s="2" t="s">
        <v>8</v>
      </c>
      <c r="E214" s="2" t="s">
        <v>3</v>
      </c>
      <c r="F214" s="9" t="s">
        <v>17</v>
      </c>
      <c r="G214" s="9" t="str">
        <f t="shared" si="7"/>
        <v>Beverages</v>
      </c>
      <c r="H214" s="25">
        <v>17.55</v>
      </c>
      <c r="I214" s="6">
        <v>16</v>
      </c>
      <c r="J214" s="25">
        <v>19.66</v>
      </c>
      <c r="K214" s="25">
        <v>300.45999999999998</v>
      </c>
      <c r="L214" s="9">
        <v>0</v>
      </c>
      <c r="M214" s="39" t="str">
        <f t="shared" si="6"/>
        <v>Normal Transaction</v>
      </c>
    </row>
    <row r="215" spans="1:13" x14ac:dyDescent="0.35">
      <c r="A215" s="27">
        <v>214</v>
      </c>
      <c r="B215" s="2" t="s">
        <v>31</v>
      </c>
      <c r="C215" s="2" t="s">
        <v>1</v>
      </c>
      <c r="D215" s="2" t="s">
        <v>8</v>
      </c>
      <c r="E215" s="2" t="s">
        <v>3</v>
      </c>
      <c r="F215" s="9" t="s">
        <v>10</v>
      </c>
      <c r="G215" s="9" t="str">
        <f t="shared" si="7"/>
        <v>Stationery</v>
      </c>
      <c r="H215" s="25">
        <v>17.59</v>
      </c>
      <c r="I215" s="6">
        <v>1</v>
      </c>
      <c r="J215" s="25">
        <v>1.23</v>
      </c>
      <c r="K215" s="25">
        <v>18.82</v>
      </c>
      <c r="L215" s="9">
        <v>0</v>
      </c>
      <c r="M215" s="39" t="str">
        <f t="shared" si="6"/>
        <v>Normal Transaction</v>
      </c>
    </row>
    <row r="216" spans="1:13" x14ac:dyDescent="0.35">
      <c r="A216" s="27">
        <v>215</v>
      </c>
      <c r="B216" s="2" t="s">
        <v>6</v>
      </c>
      <c r="C216" s="2" t="s">
        <v>7</v>
      </c>
      <c r="D216" s="2" t="s">
        <v>2</v>
      </c>
      <c r="E216" s="2" t="s">
        <v>9</v>
      </c>
      <c r="F216" s="9" t="s">
        <v>10</v>
      </c>
      <c r="G216" s="9" t="str">
        <f t="shared" si="7"/>
        <v>Stationery</v>
      </c>
      <c r="H216" s="25">
        <v>6.7</v>
      </c>
      <c r="I216" s="6">
        <v>19</v>
      </c>
      <c r="J216" s="25">
        <v>8.91</v>
      </c>
      <c r="K216" s="25">
        <v>136.21</v>
      </c>
      <c r="L216" s="9">
        <v>13</v>
      </c>
      <c r="M216" s="39" t="str">
        <f t="shared" si="6"/>
        <v>Normal Transaction</v>
      </c>
    </row>
    <row r="217" spans="1:13" x14ac:dyDescent="0.35">
      <c r="A217" s="27">
        <v>216</v>
      </c>
      <c r="B217" s="2" t="s">
        <v>31</v>
      </c>
      <c r="C217" s="2" t="s">
        <v>1</v>
      </c>
      <c r="D217" s="2" t="s">
        <v>2</v>
      </c>
      <c r="E217" s="2" t="s">
        <v>9</v>
      </c>
      <c r="F217" s="9" t="s">
        <v>4</v>
      </c>
      <c r="G217" s="9" t="str">
        <f t="shared" si="7"/>
        <v>Personal Care</v>
      </c>
      <c r="H217" s="25">
        <v>18.350000000000001</v>
      </c>
      <c r="I217" s="6">
        <v>2</v>
      </c>
      <c r="J217" s="25">
        <v>2.57</v>
      </c>
      <c r="K217" s="25">
        <v>39.270000000000003</v>
      </c>
      <c r="L217" s="9">
        <v>3</v>
      </c>
      <c r="M217" s="39" t="str">
        <f t="shared" si="6"/>
        <v>Normal Transaction</v>
      </c>
    </row>
    <row r="218" spans="1:13" x14ac:dyDescent="0.35">
      <c r="A218" s="27">
        <v>217</v>
      </c>
      <c r="B218" s="2" t="s">
        <v>31</v>
      </c>
      <c r="C218" s="2" t="s">
        <v>1</v>
      </c>
      <c r="D218" s="2" t="s">
        <v>8</v>
      </c>
      <c r="E218" s="2" t="s">
        <v>9</v>
      </c>
      <c r="F218" s="9" t="s">
        <v>17</v>
      </c>
      <c r="G218" s="9" t="str">
        <f t="shared" si="7"/>
        <v>Beverages</v>
      </c>
      <c r="H218" s="25">
        <v>7.09</v>
      </c>
      <c r="I218" s="6">
        <v>16</v>
      </c>
      <c r="J218" s="25">
        <v>7.94</v>
      </c>
      <c r="K218" s="25">
        <v>121.38</v>
      </c>
      <c r="L218" s="9">
        <v>0</v>
      </c>
      <c r="M218" s="39" t="str">
        <f t="shared" si="6"/>
        <v>Normal Transaction</v>
      </c>
    </row>
    <row r="219" spans="1:13" x14ac:dyDescent="0.35">
      <c r="A219" s="27">
        <v>218</v>
      </c>
      <c r="B219" s="2" t="s">
        <v>0</v>
      </c>
      <c r="C219" s="2" t="s">
        <v>14</v>
      </c>
      <c r="D219" s="2" t="s">
        <v>2</v>
      </c>
      <c r="E219" s="2" t="s">
        <v>3</v>
      </c>
      <c r="F219" s="9" t="s">
        <v>15</v>
      </c>
      <c r="G219" s="9" t="str">
        <f t="shared" si="7"/>
        <v>Household</v>
      </c>
      <c r="H219" s="25">
        <v>19.96</v>
      </c>
      <c r="I219" s="6">
        <v>9</v>
      </c>
      <c r="J219" s="25">
        <v>12.57</v>
      </c>
      <c r="K219" s="25">
        <v>192.21</v>
      </c>
      <c r="L219" s="9">
        <v>19</v>
      </c>
      <c r="M219" s="39" t="str">
        <f t="shared" si="6"/>
        <v>Normal Transaction</v>
      </c>
    </row>
    <row r="220" spans="1:13" x14ac:dyDescent="0.35">
      <c r="A220" s="27">
        <v>219</v>
      </c>
      <c r="B220" s="2" t="s">
        <v>6</v>
      </c>
      <c r="C220" s="2" t="s">
        <v>7</v>
      </c>
      <c r="D220" s="2" t="s">
        <v>8</v>
      </c>
      <c r="E220" s="2" t="s">
        <v>3</v>
      </c>
      <c r="F220" s="9" t="s">
        <v>4</v>
      </c>
      <c r="G220" s="9" t="str">
        <f t="shared" si="7"/>
        <v>Personal Care</v>
      </c>
      <c r="H220" s="25">
        <v>3.01</v>
      </c>
      <c r="I220" s="6">
        <v>16</v>
      </c>
      <c r="J220" s="25">
        <v>3.37</v>
      </c>
      <c r="K220" s="25">
        <v>51.53</v>
      </c>
      <c r="L220" s="9">
        <v>0</v>
      </c>
      <c r="M220" s="39" t="str">
        <f t="shared" si="6"/>
        <v>Normal Transaction</v>
      </c>
    </row>
    <row r="221" spans="1:13" x14ac:dyDescent="0.35">
      <c r="A221" s="27">
        <v>220</v>
      </c>
      <c r="B221" s="2" t="s">
        <v>31</v>
      </c>
      <c r="C221" s="2" t="s">
        <v>1</v>
      </c>
      <c r="D221" s="2" t="s">
        <v>2</v>
      </c>
      <c r="E221" s="2" t="s">
        <v>3</v>
      </c>
      <c r="F221" s="9" t="s">
        <v>15</v>
      </c>
      <c r="G221" s="9" t="str">
        <f t="shared" si="7"/>
        <v>Household</v>
      </c>
      <c r="H221" s="25">
        <v>4.8</v>
      </c>
      <c r="I221" s="6">
        <v>13</v>
      </c>
      <c r="J221" s="25">
        <v>4.37</v>
      </c>
      <c r="K221" s="25">
        <v>66.77</v>
      </c>
      <c r="L221" s="9">
        <v>6</v>
      </c>
      <c r="M221" s="39" t="str">
        <f t="shared" si="6"/>
        <v>Normal Transaction</v>
      </c>
    </row>
    <row r="222" spans="1:13" x14ac:dyDescent="0.35">
      <c r="A222" s="27">
        <v>221</v>
      </c>
      <c r="B222" s="2" t="s">
        <v>6</v>
      </c>
      <c r="C222" s="2" t="s">
        <v>7</v>
      </c>
      <c r="D222" s="2" t="s">
        <v>8</v>
      </c>
      <c r="E222" s="2" t="s">
        <v>9</v>
      </c>
      <c r="F222" s="9" t="s">
        <v>17</v>
      </c>
      <c r="G222" s="9" t="str">
        <f t="shared" si="7"/>
        <v>Beverages</v>
      </c>
      <c r="H222" s="25">
        <v>5.86</v>
      </c>
      <c r="I222" s="6">
        <v>17</v>
      </c>
      <c r="J222" s="25">
        <v>6.97</v>
      </c>
      <c r="K222" s="25">
        <v>106.59</v>
      </c>
      <c r="L222" s="9">
        <v>0</v>
      </c>
      <c r="M222" s="39" t="str">
        <f t="shared" si="6"/>
        <v>Normal Transaction</v>
      </c>
    </row>
    <row r="223" spans="1:13" x14ac:dyDescent="0.35">
      <c r="A223" s="27">
        <v>222</v>
      </c>
      <c r="B223" s="2" t="s">
        <v>6</v>
      </c>
      <c r="C223" s="2" t="s">
        <v>7</v>
      </c>
      <c r="D223" s="2" t="s">
        <v>2</v>
      </c>
      <c r="E223" s="2" t="s">
        <v>9</v>
      </c>
      <c r="F223" s="9" t="s">
        <v>17</v>
      </c>
      <c r="G223" s="9" t="str">
        <f t="shared" si="7"/>
        <v>Beverages</v>
      </c>
      <c r="H223" s="25">
        <v>17.55</v>
      </c>
      <c r="I223" s="6">
        <v>19</v>
      </c>
      <c r="J223" s="25">
        <v>23.34</v>
      </c>
      <c r="K223" s="25">
        <v>356.79</v>
      </c>
      <c r="L223" s="9">
        <v>35</v>
      </c>
      <c r="M223" s="39" t="str">
        <f t="shared" si="6"/>
        <v>Normal Transaction</v>
      </c>
    </row>
    <row r="224" spans="1:13" x14ac:dyDescent="0.35">
      <c r="A224" s="27">
        <v>223</v>
      </c>
      <c r="B224" s="2" t="s">
        <v>31</v>
      </c>
      <c r="C224" s="2" t="s">
        <v>1</v>
      </c>
      <c r="D224" s="2" t="s">
        <v>2</v>
      </c>
      <c r="E224" s="2" t="s">
        <v>3</v>
      </c>
      <c r="F224" s="9" t="s">
        <v>4</v>
      </c>
      <c r="G224" s="9" t="str">
        <f t="shared" si="7"/>
        <v>Personal Care</v>
      </c>
      <c r="H224" s="25">
        <v>14.47</v>
      </c>
      <c r="I224" s="6">
        <v>5</v>
      </c>
      <c r="J224" s="25">
        <v>5.0599999999999996</v>
      </c>
      <c r="K224" s="25">
        <v>77.41</v>
      </c>
      <c r="L224" s="9">
        <v>7</v>
      </c>
      <c r="M224" s="39" t="str">
        <f t="shared" si="6"/>
        <v>Normal Transaction</v>
      </c>
    </row>
    <row r="225" spans="1:13" x14ac:dyDescent="0.35">
      <c r="A225" s="27">
        <v>224</v>
      </c>
      <c r="B225" s="2" t="s">
        <v>0</v>
      </c>
      <c r="C225" s="2" t="s">
        <v>14</v>
      </c>
      <c r="D225" s="2" t="s">
        <v>2</v>
      </c>
      <c r="E225" s="2" t="s">
        <v>9</v>
      </c>
      <c r="F225" s="9" t="s">
        <v>17</v>
      </c>
      <c r="G225" s="9" t="str">
        <f t="shared" si="7"/>
        <v>Beverages</v>
      </c>
      <c r="H225" s="25">
        <v>7.91</v>
      </c>
      <c r="I225" s="6">
        <v>14</v>
      </c>
      <c r="J225" s="25">
        <v>7.75</v>
      </c>
      <c r="K225" s="25">
        <v>118.49</v>
      </c>
      <c r="L225" s="9">
        <v>11</v>
      </c>
      <c r="M225" s="39" t="str">
        <f t="shared" si="6"/>
        <v>Normal Transaction</v>
      </c>
    </row>
    <row r="226" spans="1:13" x14ac:dyDescent="0.35">
      <c r="A226" s="27">
        <v>225</v>
      </c>
      <c r="B226" s="2" t="s">
        <v>0</v>
      </c>
      <c r="C226" s="2" t="s">
        <v>14</v>
      </c>
      <c r="D226" s="2" t="s">
        <v>2</v>
      </c>
      <c r="E226" s="2" t="s">
        <v>3</v>
      </c>
      <c r="F226" s="9" t="s">
        <v>12</v>
      </c>
      <c r="G226" s="9" t="str">
        <f t="shared" si="7"/>
        <v>Fruits</v>
      </c>
      <c r="H226" s="25">
        <v>5.1100000000000003</v>
      </c>
      <c r="I226" s="6">
        <v>19</v>
      </c>
      <c r="J226" s="25">
        <v>6.8</v>
      </c>
      <c r="K226" s="25">
        <v>103.89</v>
      </c>
      <c r="L226" s="9">
        <v>10</v>
      </c>
      <c r="M226" s="39" t="str">
        <f t="shared" si="6"/>
        <v>Normal Transaction</v>
      </c>
    </row>
    <row r="227" spans="1:13" x14ac:dyDescent="0.35">
      <c r="A227" s="27">
        <v>226</v>
      </c>
      <c r="B227" s="2" t="s">
        <v>0</v>
      </c>
      <c r="C227" s="2" t="s">
        <v>14</v>
      </c>
      <c r="D227" s="2" t="s">
        <v>2</v>
      </c>
      <c r="E227" s="2" t="s">
        <v>3</v>
      </c>
      <c r="F227" s="9" t="s">
        <v>4</v>
      </c>
      <c r="G227" s="9" t="str">
        <f t="shared" si="7"/>
        <v>Personal Care</v>
      </c>
      <c r="H227" s="25">
        <v>17.62</v>
      </c>
      <c r="I227" s="6">
        <v>16</v>
      </c>
      <c r="J227" s="25">
        <v>19.73</v>
      </c>
      <c r="K227" s="25">
        <v>301.64999999999998</v>
      </c>
      <c r="L227" s="9">
        <v>30</v>
      </c>
      <c r="M227" s="39" t="str">
        <f t="shared" si="6"/>
        <v>Normal Transaction</v>
      </c>
    </row>
    <row r="228" spans="1:13" x14ac:dyDescent="0.35">
      <c r="A228" s="27">
        <v>227</v>
      </c>
      <c r="B228" s="2" t="s">
        <v>31</v>
      </c>
      <c r="C228" s="2" t="s">
        <v>1</v>
      </c>
      <c r="D228" s="2" t="s">
        <v>2</v>
      </c>
      <c r="E228" s="2" t="s">
        <v>3</v>
      </c>
      <c r="F228" s="9" t="s">
        <v>4</v>
      </c>
      <c r="G228" s="9" t="str">
        <f t="shared" si="7"/>
        <v>Personal Care</v>
      </c>
      <c r="H228" s="25">
        <v>12.79</v>
      </c>
      <c r="I228" s="6">
        <v>3</v>
      </c>
      <c r="J228" s="25">
        <v>2.69</v>
      </c>
      <c r="K228" s="25">
        <v>41.06</v>
      </c>
      <c r="L228" s="9">
        <v>4</v>
      </c>
      <c r="M228" s="39" t="str">
        <f t="shared" si="6"/>
        <v>Normal Transaction</v>
      </c>
    </row>
    <row r="229" spans="1:13" x14ac:dyDescent="0.35">
      <c r="A229" s="27">
        <v>228</v>
      </c>
      <c r="B229" s="2" t="s">
        <v>31</v>
      </c>
      <c r="C229" s="2" t="s">
        <v>1</v>
      </c>
      <c r="D229" s="2" t="s">
        <v>8</v>
      </c>
      <c r="E229" s="2" t="s">
        <v>3</v>
      </c>
      <c r="F229" s="9" t="s">
        <v>12</v>
      </c>
      <c r="G229" s="9" t="str">
        <f t="shared" si="7"/>
        <v>Fruits</v>
      </c>
      <c r="H229" s="25">
        <v>9.59</v>
      </c>
      <c r="I229" s="6">
        <v>1</v>
      </c>
      <c r="J229" s="25">
        <v>0.67</v>
      </c>
      <c r="K229" s="25">
        <v>10.26</v>
      </c>
      <c r="L229" s="9">
        <v>0</v>
      </c>
      <c r="M229" s="39" t="str">
        <f t="shared" si="6"/>
        <v>Normal Transaction</v>
      </c>
    </row>
    <row r="230" spans="1:13" x14ac:dyDescent="0.35">
      <c r="A230" s="27">
        <v>229</v>
      </c>
      <c r="B230" s="2" t="s">
        <v>31</v>
      </c>
      <c r="C230" s="2" t="s">
        <v>1</v>
      </c>
      <c r="D230" s="2" t="s">
        <v>8</v>
      </c>
      <c r="E230" s="2" t="s">
        <v>9</v>
      </c>
      <c r="F230" s="9" t="s">
        <v>10</v>
      </c>
      <c r="G230" s="9" t="str">
        <f t="shared" si="7"/>
        <v>Stationery</v>
      </c>
      <c r="H230" s="25">
        <v>2.58</v>
      </c>
      <c r="I230" s="6">
        <v>14</v>
      </c>
      <c r="J230" s="25">
        <v>2.5299999999999998</v>
      </c>
      <c r="K230" s="25">
        <v>38.65</v>
      </c>
      <c r="L230" s="9">
        <v>0</v>
      </c>
      <c r="M230" s="39" t="str">
        <f t="shared" si="6"/>
        <v>Normal Transaction</v>
      </c>
    </row>
    <row r="231" spans="1:13" x14ac:dyDescent="0.35">
      <c r="A231" s="27">
        <v>230</v>
      </c>
      <c r="B231" s="2" t="s">
        <v>31</v>
      </c>
      <c r="C231" s="2" t="s">
        <v>1</v>
      </c>
      <c r="D231" s="2" t="s">
        <v>8</v>
      </c>
      <c r="E231" s="2" t="s">
        <v>3</v>
      </c>
      <c r="F231" s="9" t="s">
        <v>4</v>
      </c>
      <c r="G231" s="9" t="str">
        <f t="shared" si="7"/>
        <v>Personal Care</v>
      </c>
      <c r="H231" s="25">
        <v>15.08</v>
      </c>
      <c r="I231" s="6">
        <v>12</v>
      </c>
      <c r="J231" s="25">
        <v>12.67</v>
      </c>
      <c r="K231" s="25">
        <v>193.63</v>
      </c>
      <c r="L231" s="9">
        <v>0</v>
      </c>
      <c r="M231" s="39" t="str">
        <f t="shared" si="6"/>
        <v>Normal Transaction</v>
      </c>
    </row>
    <row r="232" spans="1:13" x14ac:dyDescent="0.35">
      <c r="A232" s="27">
        <v>231</v>
      </c>
      <c r="B232" s="2" t="s">
        <v>31</v>
      </c>
      <c r="C232" s="2" t="s">
        <v>1</v>
      </c>
      <c r="D232" s="2" t="s">
        <v>2</v>
      </c>
      <c r="E232" s="2" t="s">
        <v>3</v>
      </c>
      <c r="F232" s="9" t="s">
        <v>4</v>
      </c>
      <c r="G232" s="9" t="str">
        <f t="shared" si="7"/>
        <v>Personal Care</v>
      </c>
      <c r="H232" s="25">
        <v>10.4</v>
      </c>
      <c r="I232" s="6">
        <v>1</v>
      </c>
      <c r="J232" s="25">
        <v>0.73</v>
      </c>
      <c r="K232" s="25">
        <v>11.13</v>
      </c>
      <c r="L232" s="9">
        <v>1</v>
      </c>
      <c r="M232" s="39" t="str">
        <f t="shared" si="6"/>
        <v>Normal Transaction</v>
      </c>
    </row>
    <row r="233" spans="1:13" x14ac:dyDescent="0.35">
      <c r="A233" s="27">
        <v>232</v>
      </c>
      <c r="B233" s="2" t="s">
        <v>0</v>
      </c>
      <c r="C233" s="2" t="s">
        <v>14</v>
      </c>
      <c r="D233" s="2" t="s">
        <v>8</v>
      </c>
      <c r="E233" s="2" t="s">
        <v>3</v>
      </c>
      <c r="F233" s="9" t="s">
        <v>4</v>
      </c>
      <c r="G233" s="9" t="str">
        <f t="shared" si="7"/>
        <v>Personal Care</v>
      </c>
      <c r="H233" s="25">
        <v>1.07</v>
      </c>
      <c r="I233" s="6">
        <v>4</v>
      </c>
      <c r="J233" s="25">
        <v>0.3</v>
      </c>
      <c r="K233" s="25">
        <v>4.58</v>
      </c>
      <c r="L233" s="9">
        <v>0</v>
      </c>
      <c r="M233" s="39" t="str">
        <f t="shared" si="6"/>
        <v>Normal Transaction</v>
      </c>
    </row>
    <row r="234" spans="1:13" x14ac:dyDescent="0.35">
      <c r="A234" s="27">
        <v>233</v>
      </c>
      <c r="B234" s="2" t="s">
        <v>31</v>
      </c>
      <c r="C234" s="2" t="s">
        <v>1</v>
      </c>
      <c r="D234" s="2" t="s">
        <v>8</v>
      </c>
      <c r="E234" s="2" t="s">
        <v>3</v>
      </c>
      <c r="F234" s="9" t="s">
        <v>4</v>
      </c>
      <c r="G234" s="9" t="str">
        <f t="shared" si="7"/>
        <v>Personal Care</v>
      </c>
      <c r="H234" s="25">
        <v>2.83</v>
      </c>
      <c r="I234" s="6">
        <v>6</v>
      </c>
      <c r="J234" s="25">
        <v>1.19</v>
      </c>
      <c r="K234" s="25">
        <v>18.170000000000002</v>
      </c>
      <c r="L234" s="9">
        <v>0</v>
      </c>
      <c r="M234" s="39" t="str">
        <f t="shared" si="6"/>
        <v>Normal Transaction</v>
      </c>
    </row>
    <row r="235" spans="1:13" x14ac:dyDescent="0.35">
      <c r="A235" s="27">
        <v>234</v>
      </c>
      <c r="B235" s="2" t="s">
        <v>0</v>
      </c>
      <c r="C235" s="2" t="s">
        <v>14</v>
      </c>
      <c r="D235" s="2" t="s">
        <v>2</v>
      </c>
      <c r="E235" s="2" t="s">
        <v>3</v>
      </c>
      <c r="F235" s="9" t="s">
        <v>10</v>
      </c>
      <c r="G235" s="9" t="str">
        <f t="shared" si="7"/>
        <v>Stationery</v>
      </c>
      <c r="H235" s="25">
        <v>4.63</v>
      </c>
      <c r="I235" s="6">
        <v>5</v>
      </c>
      <c r="J235" s="25">
        <v>1.62</v>
      </c>
      <c r="K235" s="25">
        <v>24.77</v>
      </c>
      <c r="L235" s="9">
        <v>2</v>
      </c>
      <c r="M235" s="39" t="str">
        <f t="shared" si="6"/>
        <v>Normal Transaction</v>
      </c>
    </row>
    <row r="236" spans="1:13" x14ac:dyDescent="0.35">
      <c r="A236" s="27">
        <v>235</v>
      </c>
      <c r="B236" s="2" t="s">
        <v>31</v>
      </c>
      <c r="C236" s="2" t="s">
        <v>1</v>
      </c>
      <c r="D236" s="2" t="s">
        <v>8</v>
      </c>
      <c r="E236" s="2" t="s">
        <v>9</v>
      </c>
      <c r="F236" s="9" t="s">
        <v>12</v>
      </c>
      <c r="G236" s="9" t="str">
        <f t="shared" si="7"/>
        <v>Fruits</v>
      </c>
      <c r="H236" s="25">
        <v>12.78</v>
      </c>
      <c r="I236" s="6">
        <v>2</v>
      </c>
      <c r="J236" s="25">
        <v>1.79</v>
      </c>
      <c r="K236" s="25">
        <v>27.35</v>
      </c>
      <c r="L236" s="9">
        <v>0</v>
      </c>
      <c r="M236" s="39" t="str">
        <f t="shared" si="6"/>
        <v>Normal Transaction</v>
      </c>
    </row>
    <row r="237" spans="1:13" x14ac:dyDescent="0.35">
      <c r="A237" s="27">
        <v>236</v>
      </c>
      <c r="B237" s="2" t="s">
        <v>0</v>
      </c>
      <c r="C237" s="2" t="s">
        <v>14</v>
      </c>
      <c r="D237" s="2" t="s">
        <v>2</v>
      </c>
      <c r="E237" s="2" t="s">
        <v>3</v>
      </c>
      <c r="F237" s="9" t="s">
        <v>12</v>
      </c>
      <c r="G237" s="9" t="str">
        <f t="shared" si="7"/>
        <v>Fruits</v>
      </c>
      <c r="H237" s="25">
        <v>11.56</v>
      </c>
      <c r="I237" s="6">
        <v>16</v>
      </c>
      <c r="J237" s="25">
        <v>12.95</v>
      </c>
      <c r="K237" s="25">
        <v>197.91</v>
      </c>
      <c r="L237" s="9">
        <v>19</v>
      </c>
      <c r="M237" s="39" t="str">
        <f t="shared" si="6"/>
        <v>Normal Transaction</v>
      </c>
    </row>
    <row r="238" spans="1:13" x14ac:dyDescent="0.35">
      <c r="A238" s="27">
        <v>237</v>
      </c>
      <c r="B238" s="2" t="s">
        <v>6</v>
      </c>
      <c r="C238" s="2" t="s">
        <v>7</v>
      </c>
      <c r="D238" s="2" t="s">
        <v>8</v>
      </c>
      <c r="E238" s="2" t="s">
        <v>9</v>
      </c>
      <c r="F238" s="9" t="s">
        <v>15</v>
      </c>
      <c r="G238" s="9" t="str">
        <f t="shared" si="7"/>
        <v>Household</v>
      </c>
      <c r="H238" s="25">
        <v>18.100000000000001</v>
      </c>
      <c r="I238" s="6">
        <v>8</v>
      </c>
      <c r="J238" s="25">
        <v>10.14</v>
      </c>
      <c r="K238" s="25">
        <v>154.94</v>
      </c>
      <c r="L238" s="9">
        <v>0</v>
      </c>
      <c r="M238" s="39" t="str">
        <f t="shared" si="6"/>
        <v>Normal Transaction</v>
      </c>
    </row>
    <row r="239" spans="1:13" x14ac:dyDescent="0.35">
      <c r="A239" s="27">
        <v>238</v>
      </c>
      <c r="B239" s="2" t="s">
        <v>31</v>
      </c>
      <c r="C239" s="2" t="s">
        <v>1</v>
      </c>
      <c r="D239" s="2" t="s">
        <v>2</v>
      </c>
      <c r="E239" s="2" t="s">
        <v>3</v>
      </c>
      <c r="F239" s="9" t="s">
        <v>4</v>
      </c>
      <c r="G239" s="9" t="str">
        <f t="shared" si="7"/>
        <v>Personal Care</v>
      </c>
      <c r="H239" s="25">
        <v>7.6</v>
      </c>
      <c r="I239" s="6">
        <v>1</v>
      </c>
      <c r="J239" s="25">
        <v>0.53</v>
      </c>
      <c r="K239" s="25">
        <v>8.1300000000000008</v>
      </c>
      <c r="L239" s="9">
        <v>0</v>
      </c>
      <c r="M239" s="39" t="str">
        <f t="shared" si="6"/>
        <v>Normal Transaction</v>
      </c>
    </row>
    <row r="240" spans="1:13" x14ac:dyDescent="0.35">
      <c r="A240" s="27">
        <v>239</v>
      </c>
      <c r="B240" s="2" t="s">
        <v>0</v>
      </c>
      <c r="C240" s="2" t="s">
        <v>14</v>
      </c>
      <c r="D240" s="2" t="s">
        <v>2</v>
      </c>
      <c r="E240" s="2" t="s">
        <v>3</v>
      </c>
      <c r="F240" s="9" t="s">
        <v>4</v>
      </c>
      <c r="G240" s="9" t="str">
        <f t="shared" si="7"/>
        <v>Personal Care</v>
      </c>
      <c r="H240" s="25">
        <v>19.850000000000001</v>
      </c>
      <c r="I240" s="6">
        <v>15</v>
      </c>
      <c r="J240" s="25">
        <v>20.84</v>
      </c>
      <c r="K240" s="25">
        <v>318.58999999999997</v>
      </c>
      <c r="L240" s="9">
        <v>31</v>
      </c>
      <c r="M240" s="39" t="str">
        <f t="shared" si="6"/>
        <v>Normal Transaction</v>
      </c>
    </row>
    <row r="241" spans="1:13" x14ac:dyDescent="0.35">
      <c r="A241" s="27">
        <v>240</v>
      </c>
      <c r="B241" s="2" t="s">
        <v>6</v>
      </c>
      <c r="C241" s="2" t="s">
        <v>7</v>
      </c>
      <c r="D241" s="2" t="s">
        <v>8</v>
      </c>
      <c r="E241" s="2" t="s">
        <v>3</v>
      </c>
      <c r="F241" s="9" t="s">
        <v>4</v>
      </c>
      <c r="G241" s="9" t="str">
        <f t="shared" si="7"/>
        <v>Personal Care</v>
      </c>
      <c r="H241" s="25">
        <v>10.77</v>
      </c>
      <c r="I241" s="6">
        <v>16</v>
      </c>
      <c r="J241" s="25">
        <v>12.06</v>
      </c>
      <c r="K241" s="25">
        <v>184.38</v>
      </c>
      <c r="L241" s="9">
        <v>0</v>
      </c>
      <c r="M241" s="39" t="str">
        <f t="shared" si="6"/>
        <v>Normal Transaction</v>
      </c>
    </row>
    <row r="242" spans="1:13" x14ac:dyDescent="0.35">
      <c r="A242" s="27">
        <v>241</v>
      </c>
      <c r="B242" s="2" t="s">
        <v>6</v>
      </c>
      <c r="C242" s="2" t="s">
        <v>7</v>
      </c>
      <c r="D242" s="2" t="s">
        <v>8</v>
      </c>
      <c r="E242" s="2" t="s">
        <v>3</v>
      </c>
      <c r="F242" s="9" t="s">
        <v>4</v>
      </c>
      <c r="G242" s="9" t="str">
        <f t="shared" si="7"/>
        <v>Personal Care</v>
      </c>
      <c r="H242" s="25">
        <v>3.61</v>
      </c>
      <c r="I242" s="6">
        <v>10</v>
      </c>
      <c r="J242" s="25">
        <v>2.5299999999999998</v>
      </c>
      <c r="K242" s="25">
        <v>38.630000000000003</v>
      </c>
      <c r="L242" s="9">
        <v>0</v>
      </c>
      <c r="M242" s="39" t="str">
        <f t="shared" si="6"/>
        <v>Normal Transaction</v>
      </c>
    </row>
    <row r="243" spans="1:13" x14ac:dyDescent="0.35">
      <c r="A243" s="27">
        <v>242</v>
      </c>
      <c r="B243" s="2" t="s">
        <v>31</v>
      </c>
      <c r="C243" s="2" t="s">
        <v>1</v>
      </c>
      <c r="D243" s="2" t="s">
        <v>8</v>
      </c>
      <c r="E243" s="2" t="s">
        <v>9</v>
      </c>
      <c r="F243" s="9" t="s">
        <v>4</v>
      </c>
      <c r="G243" s="9" t="str">
        <f t="shared" si="7"/>
        <v>Personal Care</v>
      </c>
      <c r="H243" s="25">
        <v>6.77</v>
      </c>
      <c r="I243" s="6">
        <v>13</v>
      </c>
      <c r="J243" s="25">
        <v>6.16</v>
      </c>
      <c r="K243" s="25">
        <v>94.17</v>
      </c>
      <c r="L243" s="9">
        <v>0</v>
      </c>
      <c r="M243" s="39" t="str">
        <f t="shared" si="6"/>
        <v>Normal Transaction</v>
      </c>
    </row>
    <row r="244" spans="1:13" x14ac:dyDescent="0.35">
      <c r="A244" s="27">
        <v>243</v>
      </c>
      <c r="B244" s="2" t="s">
        <v>0</v>
      </c>
      <c r="C244" s="2" t="s">
        <v>14</v>
      </c>
      <c r="D244" s="2" t="s">
        <v>8</v>
      </c>
      <c r="E244" s="2" t="s">
        <v>9</v>
      </c>
      <c r="F244" s="9" t="s">
        <v>4</v>
      </c>
      <c r="G244" s="9" t="str">
        <f t="shared" si="7"/>
        <v>Personal Care</v>
      </c>
      <c r="H244" s="25">
        <v>10.220000000000001</v>
      </c>
      <c r="I244" s="6">
        <v>6</v>
      </c>
      <c r="J244" s="25">
        <v>4.29</v>
      </c>
      <c r="K244" s="25">
        <v>65.61</v>
      </c>
      <c r="L244" s="9">
        <v>0</v>
      </c>
      <c r="M244" s="39" t="str">
        <f t="shared" si="6"/>
        <v>Normal Transaction</v>
      </c>
    </row>
    <row r="245" spans="1:13" x14ac:dyDescent="0.35">
      <c r="A245" s="27">
        <v>244</v>
      </c>
      <c r="B245" s="2" t="s">
        <v>6</v>
      </c>
      <c r="C245" s="2" t="s">
        <v>7</v>
      </c>
      <c r="D245" s="2" t="s">
        <v>8</v>
      </c>
      <c r="E245" s="2" t="s">
        <v>9</v>
      </c>
      <c r="F245" s="9" t="s">
        <v>12</v>
      </c>
      <c r="G245" s="9" t="str">
        <f t="shared" si="7"/>
        <v>Fruits</v>
      </c>
      <c r="H245" s="25">
        <v>12.47</v>
      </c>
      <c r="I245" s="6">
        <v>15</v>
      </c>
      <c r="J245" s="25">
        <v>13.09</v>
      </c>
      <c r="K245" s="25">
        <v>200.14</v>
      </c>
      <c r="L245" s="9">
        <v>0</v>
      </c>
      <c r="M245" s="39" t="str">
        <f t="shared" si="6"/>
        <v>Normal Transaction</v>
      </c>
    </row>
    <row r="246" spans="1:13" x14ac:dyDescent="0.35">
      <c r="A246" s="27">
        <v>245</v>
      </c>
      <c r="B246" s="2" t="s">
        <v>0</v>
      </c>
      <c r="C246" s="2" t="s">
        <v>14</v>
      </c>
      <c r="D246" s="2" t="s">
        <v>8</v>
      </c>
      <c r="E246" s="2" t="s">
        <v>3</v>
      </c>
      <c r="F246" s="9" t="s">
        <v>4</v>
      </c>
      <c r="G246" s="9" t="str">
        <f t="shared" si="7"/>
        <v>Personal Care</v>
      </c>
      <c r="H246" s="25">
        <v>15.54</v>
      </c>
      <c r="I246" s="6">
        <v>16</v>
      </c>
      <c r="J246" s="25">
        <v>17.399999999999999</v>
      </c>
      <c r="K246" s="25">
        <v>266.04000000000002</v>
      </c>
      <c r="L246" s="9">
        <v>0</v>
      </c>
      <c r="M246" s="39" t="str">
        <f t="shared" si="6"/>
        <v>Normal Transaction</v>
      </c>
    </row>
    <row r="247" spans="1:13" x14ac:dyDescent="0.35">
      <c r="A247" s="27">
        <v>246</v>
      </c>
      <c r="B247" s="2" t="s">
        <v>31</v>
      </c>
      <c r="C247" s="2" t="s">
        <v>1</v>
      </c>
      <c r="D247" s="2" t="s">
        <v>2</v>
      </c>
      <c r="E247" s="2" t="s">
        <v>9</v>
      </c>
      <c r="F247" s="9" t="s">
        <v>10</v>
      </c>
      <c r="G247" s="9" t="str">
        <f t="shared" si="7"/>
        <v>Stationery</v>
      </c>
      <c r="H247" s="25">
        <v>18.3</v>
      </c>
      <c r="I247" s="6">
        <v>9</v>
      </c>
      <c r="J247" s="25">
        <v>11.53</v>
      </c>
      <c r="K247" s="25">
        <v>176.23</v>
      </c>
      <c r="L247" s="9">
        <v>17</v>
      </c>
      <c r="M247" s="39" t="str">
        <f t="shared" si="6"/>
        <v>Normal Transaction</v>
      </c>
    </row>
    <row r="248" spans="1:13" x14ac:dyDescent="0.35">
      <c r="A248" s="27">
        <v>247</v>
      </c>
      <c r="B248" s="2" t="s">
        <v>0</v>
      </c>
      <c r="C248" s="2" t="s">
        <v>14</v>
      </c>
      <c r="D248" s="2" t="s">
        <v>8</v>
      </c>
      <c r="E248" s="2" t="s">
        <v>3</v>
      </c>
      <c r="F248" s="9" t="s">
        <v>15</v>
      </c>
      <c r="G248" s="9" t="str">
        <f t="shared" si="7"/>
        <v>Household</v>
      </c>
      <c r="H248" s="25">
        <v>8.81</v>
      </c>
      <c r="I248" s="6">
        <v>3</v>
      </c>
      <c r="J248" s="25">
        <v>1.85</v>
      </c>
      <c r="K248" s="25">
        <v>28.28</v>
      </c>
      <c r="L248" s="9">
        <v>0</v>
      </c>
      <c r="M248" s="39" t="str">
        <f t="shared" si="6"/>
        <v>Normal Transaction</v>
      </c>
    </row>
    <row r="249" spans="1:13" x14ac:dyDescent="0.35">
      <c r="A249" s="27">
        <v>248</v>
      </c>
      <c r="B249" s="2" t="s">
        <v>31</v>
      </c>
      <c r="C249" s="2" t="s">
        <v>1</v>
      </c>
      <c r="D249" s="2" t="s">
        <v>2</v>
      </c>
      <c r="E249" s="2" t="s">
        <v>3</v>
      </c>
      <c r="F249" s="9" t="s">
        <v>12</v>
      </c>
      <c r="G249" s="9" t="str">
        <f t="shared" si="7"/>
        <v>Fruits</v>
      </c>
      <c r="H249" s="25">
        <v>13.53</v>
      </c>
      <c r="I249" s="6">
        <v>17</v>
      </c>
      <c r="J249" s="25">
        <v>16.100000000000001</v>
      </c>
      <c r="K249" s="25">
        <v>246.11</v>
      </c>
      <c r="L249" s="9">
        <v>24</v>
      </c>
      <c r="M249" s="39" t="str">
        <f t="shared" si="6"/>
        <v>Normal Transaction</v>
      </c>
    </row>
    <row r="250" spans="1:13" x14ac:dyDescent="0.35">
      <c r="A250" s="27">
        <v>249</v>
      </c>
      <c r="B250" s="2" t="s">
        <v>31</v>
      </c>
      <c r="C250" s="2" t="s">
        <v>1</v>
      </c>
      <c r="D250" s="2" t="s">
        <v>8</v>
      </c>
      <c r="E250" s="2" t="s">
        <v>9</v>
      </c>
      <c r="F250" s="9" t="s">
        <v>15</v>
      </c>
      <c r="G250" s="9" t="str">
        <f t="shared" si="7"/>
        <v>Household</v>
      </c>
      <c r="H250" s="25">
        <v>9.61</v>
      </c>
      <c r="I250" s="6">
        <v>19</v>
      </c>
      <c r="J250" s="25">
        <v>12.78</v>
      </c>
      <c r="K250" s="25">
        <v>195.37</v>
      </c>
      <c r="L250" s="9">
        <v>0</v>
      </c>
      <c r="M250" s="39" t="str">
        <f t="shared" si="6"/>
        <v>Normal Transaction</v>
      </c>
    </row>
    <row r="251" spans="1:13" x14ac:dyDescent="0.35">
      <c r="A251" s="27">
        <v>250</v>
      </c>
      <c r="B251" s="2" t="s">
        <v>6</v>
      </c>
      <c r="C251" s="2" t="s">
        <v>7</v>
      </c>
      <c r="D251" s="2" t="s">
        <v>2</v>
      </c>
      <c r="E251" s="2" t="s">
        <v>9</v>
      </c>
      <c r="F251" s="9" t="s">
        <v>12</v>
      </c>
      <c r="G251" s="9" t="str">
        <f t="shared" si="7"/>
        <v>Fruits</v>
      </c>
      <c r="H251" s="25">
        <v>10.17</v>
      </c>
      <c r="I251" s="6">
        <v>18</v>
      </c>
      <c r="J251" s="25">
        <v>12.81</v>
      </c>
      <c r="K251" s="25">
        <v>195.87</v>
      </c>
      <c r="L251" s="9">
        <v>19</v>
      </c>
      <c r="M251" s="39" t="str">
        <f t="shared" si="6"/>
        <v>Normal Transaction</v>
      </c>
    </row>
    <row r="252" spans="1:13" x14ac:dyDescent="0.35">
      <c r="A252" s="27">
        <v>251</v>
      </c>
      <c r="B252" s="2" t="s">
        <v>0</v>
      </c>
      <c r="C252" s="2" t="s">
        <v>14</v>
      </c>
      <c r="D252" s="2" t="s">
        <v>2</v>
      </c>
      <c r="E252" s="2" t="s">
        <v>9</v>
      </c>
      <c r="F252" s="9" t="s">
        <v>10</v>
      </c>
      <c r="G252" s="9" t="str">
        <f t="shared" si="7"/>
        <v>Stationery</v>
      </c>
      <c r="H252" s="25">
        <v>15.34</v>
      </c>
      <c r="I252" s="6">
        <v>8</v>
      </c>
      <c r="J252" s="25">
        <v>8.59</v>
      </c>
      <c r="K252" s="25">
        <v>131.31</v>
      </c>
      <c r="L252" s="9">
        <v>13</v>
      </c>
      <c r="M252" s="39" t="str">
        <f t="shared" si="6"/>
        <v>Normal Transaction</v>
      </c>
    </row>
    <row r="253" spans="1:13" x14ac:dyDescent="0.35">
      <c r="A253" s="27">
        <v>252</v>
      </c>
      <c r="B253" s="2" t="s">
        <v>6</v>
      </c>
      <c r="C253" s="2" t="s">
        <v>7</v>
      </c>
      <c r="D253" s="2" t="s">
        <v>2</v>
      </c>
      <c r="E253" s="2" t="s">
        <v>9</v>
      </c>
      <c r="F253" s="9" t="s">
        <v>12</v>
      </c>
      <c r="G253" s="9" t="str">
        <f t="shared" si="7"/>
        <v>Fruits</v>
      </c>
      <c r="H253" s="25">
        <v>19.5</v>
      </c>
      <c r="I253" s="6">
        <v>13</v>
      </c>
      <c r="J253" s="25">
        <v>17.75</v>
      </c>
      <c r="K253" s="25">
        <v>271.25</v>
      </c>
      <c r="L253" s="9">
        <v>27</v>
      </c>
      <c r="M253" s="39" t="str">
        <f t="shared" si="6"/>
        <v>Normal Transaction</v>
      </c>
    </row>
    <row r="254" spans="1:13" x14ac:dyDescent="0.35">
      <c r="A254" s="27">
        <v>253</v>
      </c>
      <c r="B254" s="2" t="s">
        <v>31</v>
      </c>
      <c r="C254" s="2" t="s">
        <v>1</v>
      </c>
      <c r="D254" s="2" t="s">
        <v>2</v>
      </c>
      <c r="E254" s="2" t="s">
        <v>3</v>
      </c>
      <c r="F254" s="9" t="s">
        <v>17</v>
      </c>
      <c r="G254" s="9" t="str">
        <f t="shared" si="7"/>
        <v>Beverages</v>
      </c>
      <c r="H254" s="25">
        <v>20.81</v>
      </c>
      <c r="I254" s="6">
        <v>5</v>
      </c>
      <c r="J254" s="25">
        <v>7.28</v>
      </c>
      <c r="K254" s="25">
        <v>111.33</v>
      </c>
      <c r="L254" s="9">
        <v>11</v>
      </c>
      <c r="M254" s="39" t="str">
        <f t="shared" si="6"/>
        <v>Normal Transaction</v>
      </c>
    </row>
    <row r="255" spans="1:13" x14ac:dyDescent="0.35">
      <c r="A255" s="27">
        <v>254</v>
      </c>
      <c r="B255" s="2" t="s">
        <v>0</v>
      </c>
      <c r="C255" s="2" t="s">
        <v>14</v>
      </c>
      <c r="D255" s="2" t="s">
        <v>8</v>
      </c>
      <c r="E255" s="2" t="s">
        <v>9</v>
      </c>
      <c r="F255" s="9" t="s">
        <v>17</v>
      </c>
      <c r="G255" s="9" t="str">
        <f t="shared" si="7"/>
        <v>Beverages</v>
      </c>
      <c r="H255" s="25">
        <v>20.25</v>
      </c>
      <c r="I255" s="6">
        <v>4</v>
      </c>
      <c r="J255" s="25">
        <v>5.67</v>
      </c>
      <c r="K255" s="25">
        <v>86.67</v>
      </c>
      <c r="L255" s="9">
        <v>0</v>
      </c>
      <c r="M255" s="39" t="str">
        <f t="shared" si="6"/>
        <v>Normal Transaction</v>
      </c>
    </row>
    <row r="256" spans="1:13" x14ac:dyDescent="0.35">
      <c r="A256" s="27">
        <v>255</v>
      </c>
      <c r="B256" s="2" t="s">
        <v>6</v>
      </c>
      <c r="C256" s="2" t="s">
        <v>7</v>
      </c>
      <c r="D256" s="2" t="s">
        <v>8</v>
      </c>
      <c r="E256" s="2" t="s">
        <v>3</v>
      </c>
      <c r="F256" s="9" t="s">
        <v>12</v>
      </c>
      <c r="G256" s="9" t="str">
        <f t="shared" si="7"/>
        <v>Fruits</v>
      </c>
      <c r="H256" s="25">
        <v>4.37</v>
      </c>
      <c r="I256" s="6">
        <v>4</v>
      </c>
      <c r="J256" s="25">
        <v>1.22</v>
      </c>
      <c r="K256" s="25">
        <v>18.7</v>
      </c>
      <c r="L256" s="9">
        <v>0</v>
      </c>
      <c r="M256" s="39" t="str">
        <f t="shared" si="6"/>
        <v>Normal Transaction</v>
      </c>
    </row>
    <row r="257" spans="1:13" x14ac:dyDescent="0.35">
      <c r="A257" s="27">
        <v>256</v>
      </c>
      <c r="B257" s="2" t="s">
        <v>6</v>
      </c>
      <c r="C257" s="2" t="s">
        <v>7</v>
      </c>
      <c r="D257" s="2" t="s">
        <v>8</v>
      </c>
      <c r="E257" s="2" t="s">
        <v>3</v>
      </c>
      <c r="F257" s="9" t="s">
        <v>12</v>
      </c>
      <c r="G257" s="9" t="str">
        <f t="shared" si="7"/>
        <v>Fruits</v>
      </c>
      <c r="H257" s="25">
        <v>17.95</v>
      </c>
      <c r="I257" s="6">
        <v>12</v>
      </c>
      <c r="J257" s="25">
        <v>15.08</v>
      </c>
      <c r="K257" s="25">
        <v>230.48</v>
      </c>
      <c r="L257" s="9">
        <v>0</v>
      </c>
      <c r="M257" s="39" t="str">
        <f t="shared" si="6"/>
        <v>Normal Transaction</v>
      </c>
    </row>
    <row r="258" spans="1:13" x14ac:dyDescent="0.35">
      <c r="A258" s="27">
        <v>257</v>
      </c>
      <c r="B258" s="2" t="s">
        <v>31</v>
      </c>
      <c r="C258" s="2" t="s">
        <v>1</v>
      </c>
      <c r="D258" s="2" t="s">
        <v>2</v>
      </c>
      <c r="E258" s="2" t="s">
        <v>3</v>
      </c>
      <c r="F258" s="9" t="s">
        <v>12</v>
      </c>
      <c r="G258" s="9" t="str">
        <f t="shared" si="7"/>
        <v>Fruits</v>
      </c>
      <c r="H258" s="25">
        <v>3.32</v>
      </c>
      <c r="I258" s="6">
        <v>7</v>
      </c>
      <c r="J258" s="25">
        <v>1.63</v>
      </c>
      <c r="K258" s="25">
        <v>24.87</v>
      </c>
      <c r="L258" s="9">
        <v>2</v>
      </c>
      <c r="M258" s="39" t="str">
        <f t="shared" ref="M258:M321" si="8">IF(K258 &gt; 382.93, "Outlier (Extreme Spend)", "Normal Transaction")</f>
        <v>Normal Transaction</v>
      </c>
    </row>
    <row r="259" spans="1:13" x14ac:dyDescent="0.35">
      <c r="A259" s="27">
        <v>258</v>
      </c>
      <c r="B259" s="2" t="s">
        <v>0</v>
      </c>
      <c r="C259" s="2" t="s">
        <v>14</v>
      </c>
      <c r="D259" s="2" t="s">
        <v>2</v>
      </c>
      <c r="E259" s="2" t="s">
        <v>9</v>
      </c>
      <c r="F259" s="9" t="s">
        <v>12</v>
      </c>
      <c r="G259" s="9" t="str">
        <f t="shared" ref="G259:G322" si="9">_xlfn.XLOOKUP(F259,$Q$2:$Q$6,$R$2:$R$6,"Unknown")</f>
        <v>Fruits</v>
      </c>
      <c r="H259" s="25">
        <v>18.14</v>
      </c>
      <c r="I259" s="6">
        <v>19</v>
      </c>
      <c r="J259" s="25">
        <v>24.13</v>
      </c>
      <c r="K259" s="25">
        <v>368.79</v>
      </c>
      <c r="L259" s="9">
        <v>36</v>
      </c>
      <c r="M259" s="39" t="str">
        <f t="shared" si="8"/>
        <v>Normal Transaction</v>
      </c>
    </row>
    <row r="260" spans="1:13" x14ac:dyDescent="0.35">
      <c r="A260" s="27">
        <v>259</v>
      </c>
      <c r="B260" s="2" t="s">
        <v>0</v>
      </c>
      <c r="C260" s="2" t="s">
        <v>14</v>
      </c>
      <c r="D260" s="2" t="s">
        <v>2</v>
      </c>
      <c r="E260" s="2" t="s">
        <v>3</v>
      </c>
      <c r="F260" s="9" t="s">
        <v>4</v>
      </c>
      <c r="G260" s="9" t="str">
        <f t="shared" si="9"/>
        <v>Personal Care</v>
      </c>
      <c r="H260" s="25">
        <v>6.62</v>
      </c>
      <c r="I260" s="6">
        <v>8</v>
      </c>
      <c r="J260" s="25">
        <v>3.71</v>
      </c>
      <c r="K260" s="25">
        <v>56.67</v>
      </c>
      <c r="L260" s="9">
        <v>5</v>
      </c>
      <c r="M260" s="39" t="str">
        <f t="shared" si="8"/>
        <v>Normal Transaction</v>
      </c>
    </row>
    <row r="261" spans="1:13" x14ac:dyDescent="0.35">
      <c r="A261" s="27">
        <v>260</v>
      </c>
      <c r="B261" s="2" t="s">
        <v>6</v>
      </c>
      <c r="C261" s="2" t="s">
        <v>7</v>
      </c>
      <c r="D261" s="2" t="s">
        <v>2</v>
      </c>
      <c r="E261" s="2" t="s">
        <v>9</v>
      </c>
      <c r="F261" s="9" t="s">
        <v>4</v>
      </c>
      <c r="G261" s="9" t="str">
        <f t="shared" si="9"/>
        <v>Personal Care</v>
      </c>
      <c r="H261" s="25">
        <v>14.94</v>
      </c>
      <c r="I261" s="6">
        <v>10</v>
      </c>
      <c r="J261" s="25">
        <v>10.46</v>
      </c>
      <c r="K261" s="25">
        <v>159.86000000000001</v>
      </c>
      <c r="L261" s="9">
        <v>15</v>
      </c>
      <c r="M261" s="39" t="str">
        <f t="shared" si="8"/>
        <v>Normal Transaction</v>
      </c>
    </row>
    <row r="262" spans="1:13" x14ac:dyDescent="0.35">
      <c r="A262" s="27">
        <v>261</v>
      </c>
      <c r="B262" s="2" t="s">
        <v>6</v>
      </c>
      <c r="C262" s="2" t="s">
        <v>7</v>
      </c>
      <c r="D262" s="2" t="s">
        <v>2</v>
      </c>
      <c r="E262" s="2" t="s">
        <v>3</v>
      </c>
      <c r="F262" s="9" t="s">
        <v>10</v>
      </c>
      <c r="G262" s="9" t="str">
        <f t="shared" si="9"/>
        <v>Stationery</v>
      </c>
      <c r="H262" s="25">
        <v>20.02</v>
      </c>
      <c r="I262" s="6">
        <v>19</v>
      </c>
      <c r="J262" s="25">
        <v>26.63</v>
      </c>
      <c r="K262" s="25">
        <v>407.01</v>
      </c>
      <c r="L262" s="9">
        <v>40</v>
      </c>
      <c r="M262" s="39" t="str">
        <f t="shared" si="8"/>
        <v>Outlier (Extreme Spend)</v>
      </c>
    </row>
    <row r="263" spans="1:13" x14ac:dyDescent="0.35">
      <c r="A263" s="27">
        <v>262</v>
      </c>
      <c r="B263" s="2" t="s">
        <v>31</v>
      </c>
      <c r="C263" s="2" t="s">
        <v>1</v>
      </c>
      <c r="D263" s="2" t="s">
        <v>8</v>
      </c>
      <c r="E263" s="2" t="s">
        <v>3</v>
      </c>
      <c r="F263" s="9" t="s">
        <v>4</v>
      </c>
      <c r="G263" s="9" t="str">
        <f t="shared" si="9"/>
        <v>Personal Care</v>
      </c>
      <c r="H263" s="25">
        <v>17.649999999999999</v>
      </c>
      <c r="I263" s="6">
        <v>5</v>
      </c>
      <c r="J263" s="25">
        <v>6.18</v>
      </c>
      <c r="K263" s="25">
        <v>94.43</v>
      </c>
      <c r="L263" s="9">
        <v>0</v>
      </c>
      <c r="M263" s="39" t="str">
        <f t="shared" si="8"/>
        <v>Normal Transaction</v>
      </c>
    </row>
    <row r="264" spans="1:13" x14ac:dyDescent="0.35">
      <c r="A264" s="27">
        <v>263</v>
      </c>
      <c r="B264" s="2" t="s">
        <v>31</v>
      </c>
      <c r="C264" s="2" t="s">
        <v>1</v>
      </c>
      <c r="D264" s="2" t="s">
        <v>8</v>
      </c>
      <c r="E264" s="2" t="s">
        <v>9</v>
      </c>
      <c r="F264" s="9" t="s">
        <v>15</v>
      </c>
      <c r="G264" s="9" t="str">
        <f t="shared" si="9"/>
        <v>Household</v>
      </c>
      <c r="H264" s="25">
        <v>11.67</v>
      </c>
      <c r="I264" s="6">
        <v>11</v>
      </c>
      <c r="J264" s="25">
        <v>8.99</v>
      </c>
      <c r="K264" s="25">
        <v>137.36000000000001</v>
      </c>
      <c r="L264" s="9">
        <v>0</v>
      </c>
      <c r="M264" s="39" t="str">
        <f t="shared" si="8"/>
        <v>Normal Transaction</v>
      </c>
    </row>
    <row r="265" spans="1:13" x14ac:dyDescent="0.35">
      <c r="A265" s="27">
        <v>264</v>
      </c>
      <c r="B265" s="2" t="s">
        <v>6</v>
      </c>
      <c r="C265" s="2" t="s">
        <v>7</v>
      </c>
      <c r="D265" s="2" t="s">
        <v>2</v>
      </c>
      <c r="E265" s="2" t="s">
        <v>3</v>
      </c>
      <c r="F265" s="9" t="s">
        <v>4</v>
      </c>
      <c r="G265" s="9" t="str">
        <f t="shared" si="9"/>
        <v>Personal Care</v>
      </c>
      <c r="H265" s="25">
        <v>17.100000000000001</v>
      </c>
      <c r="I265" s="6">
        <v>1</v>
      </c>
      <c r="J265" s="25">
        <v>1.2</v>
      </c>
      <c r="K265" s="25">
        <v>18.3</v>
      </c>
      <c r="L265" s="9">
        <v>1</v>
      </c>
      <c r="M265" s="39" t="str">
        <f t="shared" si="8"/>
        <v>Normal Transaction</v>
      </c>
    </row>
    <row r="266" spans="1:13" x14ac:dyDescent="0.35">
      <c r="A266" s="27">
        <v>265</v>
      </c>
      <c r="B266" s="2" t="s">
        <v>6</v>
      </c>
      <c r="C266" s="2" t="s">
        <v>7</v>
      </c>
      <c r="D266" s="2" t="s">
        <v>2</v>
      </c>
      <c r="E266" s="2" t="s">
        <v>9</v>
      </c>
      <c r="F266" s="9" t="s">
        <v>15</v>
      </c>
      <c r="G266" s="9" t="str">
        <f t="shared" si="9"/>
        <v>Household</v>
      </c>
      <c r="H266" s="25">
        <v>2.39</v>
      </c>
      <c r="I266" s="6">
        <v>10</v>
      </c>
      <c r="J266" s="25">
        <v>1.67</v>
      </c>
      <c r="K266" s="25">
        <v>25.57</v>
      </c>
      <c r="L266" s="9">
        <v>2</v>
      </c>
      <c r="M266" s="39" t="str">
        <f t="shared" si="8"/>
        <v>Normal Transaction</v>
      </c>
    </row>
    <row r="267" spans="1:13" x14ac:dyDescent="0.35">
      <c r="A267" s="27">
        <v>266</v>
      </c>
      <c r="B267" s="2" t="s">
        <v>6</v>
      </c>
      <c r="C267" s="2" t="s">
        <v>7</v>
      </c>
      <c r="D267" s="2" t="s">
        <v>2</v>
      </c>
      <c r="E267" s="2" t="s">
        <v>9</v>
      </c>
      <c r="F267" s="9" t="s">
        <v>4</v>
      </c>
      <c r="G267" s="9" t="str">
        <f t="shared" si="9"/>
        <v>Personal Care</v>
      </c>
      <c r="H267" s="25">
        <v>2.14</v>
      </c>
      <c r="I267" s="6">
        <v>13</v>
      </c>
      <c r="J267" s="25">
        <v>1.95</v>
      </c>
      <c r="K267" s="25">
        <v>29.77</v>
      </c>
      <c r="L267" s="9">
        <v>2</v>
      </c>
      <c r="M267" s="39" t="str">
        <f t="shared" si="8"/>
        <v>Normal Transaction</v>
      </c>
    </row>
    <row r="268" spans="1:13" x14ac:dyDescent="0.35">
      <c r="A268" s="27">
        <v>267</v>
      </c>
      <c r="B268" s="2" t="s">
        <v>6</v>
      </c>
      <c r="C268" s="2" t="s">
        <v>7</v>
      </c>
      <c r="D268" s="2" t="s">
        <v>2</v>
      </c>
      <c r="E268" s="2" t="s">
        <v>3</v>
      </c>
      <c r="F268" s="9" t="s">
        <v>10</v>
      </c>
      <c r="G268" s="9" t="str">
        <f t="shared" si="9"/>
        <v>Stationery</v>
      </c>
      <c r="H268" s="25">
        <v>6.41</v>
      </c>
      <c r="I268" s="6">
        <v>7</v>
      </c>
      <c r="J268" s="25">
        <v>3.14</v>
      </c>
      <c r="K268" s="25">
        <v>48.01</v>
      </c>
      <c r="L268" s="9">
        <v>4</v>
      </c>
      <c r="M268" s="39" t="str">
        <f t="shared" si="8"/>
        <v>Normal Transaction</v>
      </c>
    </row>
    <row r="269" spans="1:13" x14ac:dyDescent="0.35">
      <c r="A269" s="27">
        <v>268</v>
      </c>
      <c r="B269" s="2" t="s">
        <v>6</v>
      </c>
      <c r="C269" s="2" t="s">
        <v>7</v>
      </c>
      <c r="D269" s="2" t="s">
        <v>8</v>
      </c>
      <c r="E269" s="2" t="s">
        <v>3</v>
      </c>
      <c r="F269" s="9" t="s">
        <v>17</v>
      </c>
      <c r="G269" s="9" t="str">
        <f t="shared" si="9"/>
        <v>Beverages</v>
      </c>
      <c r="H269" s="25">
        <v>5.94</v>
      </c>
      <c r="I269" s="6">
        <v>13</v>
      </c>
      <c r="J269" s="25">
        <v>5.41</v>
      </c>
      <c r="K269" s="25">
        <v>82.63</v>
      </c>
      <c r="L269" s="9">
        <v>0</v>
      </c>
      <c r="M269" s="39" t="str">
        <f t="shared" si="8"/>
        <v>Normal Transaction</v>
      </c>
    </row>
    <row r="270" spans="1:13" x14ac:dyDescent="0.35">
      <c r="A270" s="27">
        <v>269</v>
      </c>
      <c r="B270" s="2" t="s">
        <v>6</v>
      </c>
      <c r="C270" s="2" t="s">
        <v>7</v>
      </c>
      <c r="D270" s="2" t="s">
        <v>2</v>
      </c>
      <c r="E270" s="2" t="s">
        <v>3</v>
      </c>
      <c r="F270" s="9" t="s">
        <v>17</v>
      </c>
      <c r="G270" s="9" t="str">
        <f t="shared" si="9"/>
        <v>Beverages</v>
      </c>
      <c r="H270" s="25">
        <v>17.329999999999998</v>
      </c>
      <c r="I270" s="6">
        <v>17</v>
      </c>
      <c r="J270" s="25">
        <v>20.62</v>
      </c>
      <c r="K270" s="25">
        <v>315.23</v>
      </c>
      <c r="L270" s="9">
        <v>31</v>
      </c>
      <c r="M270" s="39" t="str">
        <f t="shared" si="8"/>
        <v>Normal Transaction</v>
      </c>
    </row>
    <row r="271" spans="1:13" x14ac:dyDescent="0.35">
      <c r="A271" s="27">
        <v>270</v>
      </c>
      <c r="B271" s="2" t="s">
        <v>0</v>
      </c>
      <c r="C271" s="2" t="s">
        <v>14</v>
      </c>
      <c r="D271" s="2" t="s">
        <v>8</v>
      </c>
      <c r="E271" s="2" t="s">
        <v>9</v>
      </c>
      <c r="F271" s="9" t="s">
        <v>10</v>
      </c>
      <c r="G271" s="9" t="str">
        <f t="shared" si="9"/>
        <v>Stationery</v>
      </c>
      <c r="H271" s="25">
        <v>16.05</v>
      </c>
      <c r="I271" s="6">
        <v>18</v>
      </c>
      <c r="J271" s="25">
        <v>20.22</v>
      </c>
      <c r="K271" s="25">
        <v>309.12</v>
      </c>
      <c r="L271" s="9">
        <v>0</v>
      </c>
      <c r="M271" s="39" t="str">
        <f t="shared" si="8"/>
        <v>Normal Transaction</v>
      </c>
    </row>
    <row r="272" spans="1:13" x14ac:dyDescent="0.35">
      <c r="A272" s="27">
        <v>271</v>
      </c>
      <c r="B272" s="2" t="s">
        <v>0</v>
      </c>
      <c r="C272" s="2" t="s">
        <v>14</v>
      </c>
      <c r="D272" s="2" t="s">
        <v>8</v>
      </c>
      <c r="E272" s="2" t="s">
        <v>3</v>
      </c>
      <c r="F272" s="9" t="s">
        <v>17</v>
      </c>
      <c r="G272" s="9" t="str">
        <f t="shared" si="9"/>
        <v>Beverages</v>
      </c>
      <c r="H272" s="25">
        <v>17.89</v>
      </c>
      <c r="I272" s="6">
        <v>1</v>
      </c>
      <c r="J272" s="25">
        <v>1.25</v>
      </c>
      <c r="K272" s="25">
        <v>19.14</v>
      </c>
      <c r="L272" s="9">
        <v>0</v>
      </c>
      <c r="M272" s="39" t="str">
        <f t="shared" si="8"/>
        <v>Normal Transaction</v>
      </c>
    </row>
    <row r="273" spans="1:13" x14ac:dyDescent="0.35">
      <c r="A273" s="27">
        <v>272</v>
      </c>
      <c r="B273" s="2" t="s">
        <v>31</v>
      </c>
      <c r="C273" s="2" t="s">
        <v>1</v>
      </c>
      <c r="D273" s="2" t="s">
        <v>2</v>
      </c>
      <c r="E273" s="2" t="s">
        <v>9</v>
      </c>
      <c r="F273" s="9" t="s">
        <v>15</v>
      </c>
      <c r="G273" s="9" t="str">
        <f t="shared" si="9"/>
        <v>Household</v>
      </c>
      <c r="H273" s="25">
        <v>14.76</v>
      </c>
      <c r="I273" s="6">
        <v>12</v>
      </c>
      <c r="J273" s="25">
        <v>12.4</v>
      </c>
      <c r="K273" s="25">
        <v>189.52</v>
      </c>
      <c r="L273" s="9">
        <v>18</v>
      </c>
      <c r="M273" s="39" t="str">
        <f t="shared" si="8"/>
        <v>Normal Transaction</v>
      </c>
    </row>
    <row r="274" spans="1:13" x14ac:dyDescent="0.35">
      <c r="A274" s="27">
        <v>273</v>
      </c>
      <c r="B274" s="2" t="s">
        <v>31</v>
      </c>
      <c r="C274" s="2" t="s">
        <v>1</v>
      </c>
      <c r="D274" s="2" t="s">
        <v>8</v>
      </c>
      <c r="E274" s="2" t="s">
        <v>3</v>
      </c>
      <c r="F274" s="9" t="s">
        <v>10</v>
      </c>
      <c r="G274" s="9" t="str">
        <f t="shared" si="9"/>
        <v>Stationery</v>
      </c>
      <c r="H274" s="25">
        <v>5</v>
      </c>
      <c r="I274" s="6">
        <v>9</v>
      </c>
      <c r="J274" s="25">
        <v>3.15</v>
      </c>
      <c r="K274" s="25">
        <v>48.15</v>
      </c>
      <c r="L274" s="9">
        <v>0</v>
      </c>
      <c r="M274" s="39" t="str">
        <f t="shared" si="8"/>
        <v>Normal Transaction</v>
      </c>
    </row>
    <row r="275" spans="1:13" x14ac:dyDescent="0.35">
      <c r="A275" s="27">
        <v>274</v>
      </c>
      <c r="B275" s="2" t="s">
        <v>31</v>
      </c>
      <c r="C275" s="2" t="s">
        <v>1</v>
      </c>
      <c r="D275" s="2" t="s">
        <v>2</v>
      </c>
      <c r="E275" s="2" t="s">
        <v>3</v>
      </c>
      <c r="F275" s="9" t="s">
        <v>17</v>
      </c>
      <c r="G275" s="9" t="str">
        <f t="shared" si="9"/>
        <v>Beverages</v>
      </c>
      <c r="H275" s="25">
        <v>6.42</v>
      </c>
      <c r="I275" s="6">
        <v>5</v>
      </c>
      <c r="J275" s="25">
        <v>2.25</v>
      </c>
      <c r="K275" s="25">
        <v>34.35</v>
      </c>
      <c r="L275" s="9">
        <v>3</v>
      </c>
      <c r="M275" s="39" t="str">
        <f t="shared" si="8"/>
        <v>Normal Transaction</v>
      </c>
    </row>
    <row r="276" spans="1:13" x14ac:dyDescent="0.35">
      <c r="A276" s="27">
        <v>275</v>
      </c>
      <c r="B276" s="2" t="s">
        <v>6</v>
      </c>
      <c r="C276" s="2" t="s">
        <v>7</v>
      </c>
      <c r="D276" s="2" t="s">
        <v>2</v>
      </c>
      <c r="E276" s="2" t="s">
        <v>3</v>
      </c>
      <c r="F276" s="9" t="s">
        <v>10</v>
      </c>
      <c r="G276" s="9" t="str">
        <f t="shared" si="9"/>
        <v>Stationery</v>
      </c>
      <c r="H276" s="25">
        <v>6.37</v>
      </c>
      <c r="I276" s="6">
        <v>17</v>
      </c>
      <c r="J276" s="25">
        <v>7.58</v>
      </c>
      <c r="K276" s="25">
        <v>115.87</v>
      </c>
      <c r="L276" s="9">
        <v>11</v>
      </c>
      <c r="M276" s="39" t="str">
        <f t="shared" si="8"/>
        <v>Normal Transaction</v>
      </c>
    </row>
    <row r="277" spans="1:13" x14ac:dyDescent="0.35">
      <c r="A277" s="27">
        <v>276</v>
      </c>
      <c r="B277" s="2" t="s">
        <v>6</v>
      </c>
      <c r="C277" s="2" t="s">
        <v>7</v>
      </c>
      <c r="D277" s="2" t="s">
        <v>8</v>
      </c>
      <c r="E277" s="2" t="s">
        <v>3</v>
      </c>
      <c r="F277" s="9" t="s">
        <v>15</v>
      </c>
      <c r="G277" s="9" t="str">
        <f t="shared" si="9"/>
        <v>Household</v>
      </c>
      <c r="H277" s="25">
        <v>6.74</v>
      </c>
      <c r="I277" s="6">
        <v>16</v>
      </c>
      <c r="J277" s="25">
        <v>7.55</v>
      </c>
      <c r="K277" s="25">
        <v>115.39</v>
      </c>
      <c r="L277" s="9">
        <v>0</v>
      </c>
      <c r="M277" s="39" t="str">
        <f t="shared" si="8"/>
        <v>Normal Transaction</v>
      </c>
    </row>
    <row r="278" spans="1:13" x14ac:dyDescent="0.35">
      <c r="A278" s="27">
        <v>277</v>
      </c>
      <c r="B278" s="2" t="s">
        <v>31</v>
      </c>
      <c r="C278" s="2" t="s">
        <v>1</v>
      </c>
      <c r="D278" s="2" t="s">
        <v>8</v>
      </c>
      <c r="E278" s="2" t="s">
        <v>9</v>
      </c>
      <c r="F278" s="9" t="s">
        <v>12</v>
      </c>
      <c r="G278" s="9" t="str">
        <f t="shared" si="9"/>
        <v>Fruits</v>
      </c>
      <c r="H278" s="25">
        <v>15.7</v>
      </c>
      <c r="I278" s="6">
        <v>12</v>
      </c>
      <c r="J278" s="25">
        <v>13.19</v>
      </c>
      <c r="K278" s="25">
        <v>201.59</v>
      </c>
      <c r="L278" s="9">
        <v>0</v>
      </c>
      <c r="M278" s="39" t="str">
        <f t="shared" si="8"/>
        <v>Normal Transaction</v>
      </c>
    </row>
    <row r="279" spans="1:13" x14ac:dyDescent="0.35">
      <c r="A279" s="27">
        <v>278</v>
      </c>
      <c r="B279" s="2" t="s">
        <v>6</v>
      </c>
      <c r="C279" s="2" t="s">
        <v>7</v>
      </c>
      <c r="D279" s="2" t="s">
        <v>2</v>
      </c>
      <c r="E279" s="2" t="s">
        <v>3</v>
      </c>
      <c r="F279" s="9" t="s">
        <v>15</v>
      </c>
      <c r="G279" s="9" t="str">
        <f t="shared" si="9"/>
        <v>Household</v>
      </c>
      <c r="H279" s="25">
        <v>19.93</v>
      </c>
      <c r="I279" s="6">
        <v>8</v>
      </c>
      <c r="J279" s="25">
        <v>11.16</v>
      </c>
      <c r="K279" s="25">
        <v>170.6</v>
      </c>
      <c r="L279" s="9">
        <v>17</v>
      </c>
      <c r="M279" s="39" t="str">
        <f t="shared" si="8"/>
        <v>Normal Transaction</v>
      </c>
    </row>
    <row r="280" spans="1:13" x14ac:dyDescent="0.35">
      <c r="A280" s="27">
        <v>279</v>
      </c>
      <c r="B280" s="2" t="s">
        <v>6</v>
      </c>
      <c r="C280" s="2" t="s">
        <v>7</v>
      </c>
      <c r="D280" s="2" t="s">
        <v>8</v>
      </c>
      <c r="E280" s="2" t="s">
        <v>3</v>
      </c>
      <c r="F280" s="9" t="s">
        <v>10</v>
      </c>
      <c r="G280" s="9" t="str">
        <f t="shared" si="9"/>
        <v>Stationery</v>
      </c>
      <c r="H280" s="25">
        <v>2.4</v>
      </c>
      <c r="I280" s="6">
        <v>17</v>
      </c>
      <c r="J280" s="25">
        <v>2.86</v>
      </c>
      <c r="K280" s="25">
        <v>43.66</v>
      </c>
      <c r="L280" s="9">
        <v>0</v>
      </c>
      <c r="M280" s="39" t="str">
        <f t="shared" si="8"/>
        <v>Normal Transaction</v>
      </c>
    </row>
    <row r="281" spans="1:13" x14ac:dyDescent="0.35">
      <c r="A281" s="27">
        <v>280</v>
      </c>
      <c r="B281" s="2" t="s">
        <v>6</v>
      </c>
      <c r="C281" s="2" t="s">
        <v>7</v>
      </c>
      <c r="D281" s="2" t="s">
        <v>8</v>
      </c>
      <c r="E281" s="2" t="s">
        <v>9</v>
      </c>
      <c r="F281" s="9" t="s">
        <v>4</v>
      </c>
      <c r="G281" s="9" t="str">
        <f t="shared" si="9"/>
        <v>Personal Care</v>
      </c>
      <c r="H281" s="25">
        <v>1.94</v>
      </c>
      <c r="I281" s="6">
        <v>6</v>
      </c>
      <c r="J281" s="25">
        <v>0.81</v>
      </c>
      <c r="K281" s="25">
        <v>12.45</v>
      </c>
      <c r="L281" s="9">
        <v>0</v>
      </c>
      <c r="M281" s="39" t="str">
        <f t="shared" si="8"/>
        <v>Normal Transaction</v>
      </c>
    </row>
    <row r="282" spans="1:13" x14ac:dyDescent="0.35">
      <c r="A282" s="27">
        <v>281</v>
      </c>
      <c r="B282" s="2" t="s">
        <v>6</v>
      </c>
      <c r="C282" s="2" t="s">
        <v>7</v>
      </c>
      <c r="D282" s="2" t="s">
        <v>2</v>
      </c>
      <c r="E282" s="2" t="s">
        <v>3</v>
      </c>
      <c r="F282" s="9" t="s">
        <v>4</v>
      </c>
      <c r="G282" s="9" t="str">
        <f t="shared" si="9"/>
        <v>Personal Care</v>
      </c>
      <c r="H282" s="25">
        <v>4.3099999999999996</v>
      </c>
      <c r="I282" s="6">
        <v>6</v>
      </c>
      <c r="J282" s="25">
        <v>1.81</v>
      </c>
      <c r="K282" s="25">
        <v>27.67</v>
      </c>
      <c r="L282" s="9">
        <v>2</v>
      </c>
      <c r="M282" s="39" t="str">
        <f t="shared" si="8"/>
        <v>Normal Transaction</v>
      </c>
    </row>
    <row r="283" spans="1:13" x14ac:dyDescent="0.35">
      <c r="A283" s="27">
        <v>282</v>
      </c>
      <c r="B283" s="2" t="s">
        <v>31</v>
      </c>
      <c r="C283" s="2" t="s">
        <v>1</v>
      </c>
      <c r="D283" s="2" t="s">
        <v>2</v>
      </c>
      <c r="E283" s="2" t="s">
        <v>9</v>
      </c>
      <c r="F283" s="9" t="s">
        <v>15</v>
      </c>
      <c r="G283" s="9" t="str">
        <f t="shared" si="9"/>
        <v>Household</v>
      </c>
      <c r="H283" s="25">
        <v>15.53</v>
      </c>
      <c r="I283" s="6">
        <v>1</v>
      </c>
      <c r="J283" s="25">
        <v>1.0900000000000001</v>
      </c>
      <c r="K283" s="25">
        <v>16.62</v>
      </c>
      <c r="L283" s="9">
        <v>1</v>
      </c>
      <c r="M283" s="39" t="str">
        <f t="shared" si="8"/>
        <v>Normal Transaction</v>
      </c>
    </row>
    <row r="284" spans="1:13" x14ac:dyDescent="0.35">
      <c r="A284" s="27">
        <v>283</v>
      </c>
      <c r="B284" s="2" t="s">
        <v>0</v>
      </c>
      <c r="C284" s="2" t="s">
        <v>14</v>
      </c>
      <c r="D284" s="2" t="s">
        <v>8</v>
      </c>
      <c r="E284" s="2" t="s">
        <v>9</v>
      </c>
      <c r="F284" s="9" t="s">
        <v>15</v>
      </c>
      <c r="G284" s="9" t="str">
        <f t="shared" si="9"/>
        <v>Household</v>
      </c>
      <c r="H284" s="25">
        <v>18.010000000000002</v>
      </c>
      <c r="I284" s="6">
        <v>4</v>
      </c>
      <c r="J284" s="25">
        <v>5.04</v>
      </c>
      <c r="K284" s="25">
        <v>77.08</v>
      </c>
      <c r="L284" s="9">
        <v>0</v>
      </c>
      <c r="M284" s="39" t="str">
        <f t="shared" si="8"/>
        <v>Normal Transaction</v>
      </c>
    </row>
    <row r="285" spans="1:13" x14ac:dyDescent="0.35">
      <c r="A285" s="27">
        <v>284</v>
      </c>
      <c r="B285" s="2" t="s">
        <v>6</v>
      </c>
      <c r="C285" s="2" t="s">
        <v>7</v>
      </c>
      <c r="D285" s="2" t="s">
        <v>2</v>
      </c>
      <c r="E285" s="2" t="s">
        <v>3</v>
      </c>
      <c r="F285" s="9" t="s">
        <v>4</v>
      </c>
      <c r="G285" s="9" t="str">
        <f t="shared" si="9"/>
        <v>Personal Care</v>
      </c>
      <c r="H285" s="25">
        <v>7.79</v>
      </c>
      <c r="I285" s="6">
        <v>10</v>
      </c>
      <c r="J285" s="25">
        <v>5.45</v>
      </c>
      <c r="K285" s="25">
        <v>83.35</v>
      </c>
      <c r="L285" s="9">
        <v>8</v>
      </c>
      <c r="M285" s="39" t="str">
        <f t="shared" si="8"/>
        <v>Normal Transaction</v>
      </c>
    </row>
    <row r="286" spans="1:13" x14ac:dyDescent="0.35">
      <c r="A286" s="27">
        <v>285</v>
      </c>
      <c r="B286" s="2" t="s">
        <v>6</v>
      </c>
      <c r="C286" s="2" t="s">
        <v>7</v>
      </c>
      <c r="D286" s="2" t="s">
        <v>2</v>
      </c>
      <c r="E286" s="2" t="s">
        <v>3</v>
      </c>
      <c r="F286" s="9" t="s">
        <v>17</v>
      </c>
      <c r="G286" s="9" t="str">
        <f t="shared" si="9"/>
        <v>Beverages</v>
      </c>
      <c r="H286" s="25">
        <v>1.5</v>
      </c>
      <c r="I286" s="6">
        <v>4</v>
      </c>
      <c r="J286" s="25">
        <v>0.42</v>
      </c>
      <c r="K286" s="25">
        <v>6.42</v>
      </c>
      <c r="L286" s="9">
        <v>0</v>
      </c>
      <c r="M286" s="39" t="str">
        <f t="shared" si="8"/>
        <v>Normal Transaction</v>
      </c>
    </row>
    <row r="287" spans="1:13" x14ac:dyDescent="0.35">
      <c r="A287" s="27">
        <v>286</v>
      </c>
      <c r="B287" s="2" t="s">
        <v>0</v>
      </c>
      <c r="C287" s="2" t="s">
        <v>14</v>
      </c>
      <c r="D287" s="2" t="s">
        <v>8</v>
      </c>
      <c r="E287" s="2" t="s">
        <v>3</v>
      </c>
      <c r="F287" s="9" t="s">
        <v>15</v>
      </c>
      <c r="G287" s="9" t="str">
        <f t="shared" si="9"/>
        <v>Household</v>
      </c>
      <c r="H287" s="25">
        <v>1.45</v>
      </c>
      <c r="I287" s="6">
        <v>11</v>
      </c>
      <c r="J287" s="25">
        <v>1.1200000000000001</v>
      </c>
      <c r="K287" s="25">
        <v>17.07</v>
      </c>
      <c r="L287" s="9">
        <v>0</v>
      </c>
      <c r="M287" s="39" t="str">
        <f t="shared" si="8"/>
        <v>Normal Transaction</v>
      </c>
    </row>
    <row r="288" spans="1:13" x14ac:dyDescent="0.35">
      <c r="A288" s="27">
        <v>287</v>
      </c>
      <c r="B288" s="2" t="s">
        <v>0</v>
      </c>
      <c r="C288" s="2" t="s">
        <v>14</v>
      </c>
      <c r="D288" s="2" t="s">
        <v>8</v>
      </c>
      <c r="E288" s="2" t="s">
        <v>9</v>
      </c>
      <c r="F288" s="9" t="s">
        <v>12</v>
      </c>
      <c r="G288" s="9" t="str">
        <f t="shared" si="9"/>
        <v>Fruits</v>
      </c>
      <c r="H288" s="25">
        <v>8.8000000000000007</v>
      </c>
      <c r="I288" s="6">
        <v>6</v>
      </c>
      <c r="J288" s="25">
        <v>3.7</v>
      </c>
      <c r="K288" s="25">
        <v>56.5</v>
      </c>
      <c r="L288" s="9">
        <v>0</v>
      </c>
      <c r="M288" s="39" t="str">
        <f t="shared" si="8"/>
        <v>Normal Transaction</v>
      </c>
    </row>
    <row r="289" spans="1:13" x14ac:dyDescent="0.35">
      <c r="A289" s="27">
        <v>288</v>
      </c>
      <c r="B289" s="2" t="s">
        <v>31</v>
      </c>
      <c r="C289" s="2" t="s">
        <v>1</v>
      </c>
      <c r="D289" s="2" t="s">
        <v>8</v>
      </c>
      <c r="E289" s="2" t="s">
        <v>9</v>
      </c>
      <c r="F289" s="9" t="s">
        <v>15</v>
      </c>
      <c r="G289" s="9" t="str">
        <f t="shared" si="9"/>
        <v>Household</v>
      </c>
      <c r="H289" s="25">
        <v>1.92</v>
      </c>
      <c r="I289" s="6">
        <v>19</v>
      </c>
      <c r="J289" s="25">
        <v>2.5499999999999998</v>
      </c>
      <c r="K289" s="25">
        <v>39.03</v>
      </c>
      <c r="L289" s="9">
        <v>0</v>
      </c>
      <c r="M289" s="39" t="str">
        <f t="shared" si="8"/>
        <v>Normal Transaction</v>
      </c>
    </row>
    <row r="290" spans="1:13" x14ac:dyDescent="0.35">
      <c r="A290" s="27">
        <v>289</v>
      </c>
      <c r="B290" s="2" t="s">
        <v>6</v>
      </c>
      <c r="C290" s="2" t="s">
        <v>7</v>
      </c>
      <c r="D290" s="2" t="s">
        <v>8</v>
      </c>
      <c r="E290" s="2" t="s">
        <v>9</v>
      </c>
      <c r="F290" s="9" t="s">
        <v>15</v>
      </c>
      <c r="G290" s="9" t="str">
        <f t="shared" si="9"/>
        <v>Household</v>
      </c>
      <c r="H290" s="25">
        <v>20.43</v>
      </c>
      <c r="I290" s="6">
        <v>8</v>
      </c>
      <c r="J290" s="25">
        <v>11.44</v>
      </c>
      <c r="K290" s="25">
        <v>174.88</v>
      </c>
      <c r="L290" s="9">
        <v>0</v>
      </c>
      <c r="M290" s="39" t="str">
        <f t="shared" si="8"/>
        <v>Normal Transaction</v>
      </c>
    </row>
    <row r="291" spans="1:13" x14ac:dyDescent="0.35">
      <c r="A291" s="27">
        <v>290</v>
      </c>
      <c r="B291" s="2" t="s">
        <v>31</v>
      </c>
      <c r="C291" s="2" t="s">
        <v>1</v>
      </c>
      <c r="D291" s="2" t="s">
        <v>8</v>
      </c>
      <c r="E291" s="2" t="s">
        <v>9</v>
      </c>
      <c r="F291" s="9" t="s">
        <v>4</v>
      </c>
      <c r="G291" s="9" t="str">
        <f t="shared" si="9"/>
        <v>Personal Care</v>
      </c>
      <c r="H291" s="25">
        <v>18.239999999999998</v>
      </c>
      <c r="I291" s="6">
        <v>6</v>
      </c>
      <c r="J291" s="25">
        <v>7.66</v>
      </c>
      <c r="K291" s="25">
        <v>117.1</v>
      </c>
      <c r="L291" s="9">
        <v>0</v>
      </c>
      <c r="M291" s="39" t="str">
        <f t="shared" si="8"/>
        <v>Normal Transaction</v>
      </c>
    </row>
    <row r="292" spans="1:13" x14ac:dyDescent="0.35">
      <c r="A292" s="27">
        <v>291</v>
      </c>
      <c r="B292" s="2" t="s">
        <v>0</v>
      </c>
      <c r="C292" s="2" t="s">
        <v>14</v>
      </c>
      <c r="D292" s="2" t="s">
        <v>2</v>
      </c>
      <c r="E292" s="2" t="s">
        <v>9</v>
      </c>
      <c r="F292" s="9" t="s">
        <v>15</v>
      </c>
      <c r="G292" s="9" t="str">
        <f t="shared" si="9"/>
        <v>Household</v>
      </c>
      <c r="H292" s="25">
        <v>2.16</v>
      </c>
      <c r="I292" s="6">
        <v>18</v>
      </c>
      <c r="J292" s="25">
        <v>2.72</v>
      </c>
      <c r="K292" s="25">
        <v>41.6</v>
      </c>
      <c r="L292" s="9">
        <v>4</v>
      </c>
      <c r="M292" s="39" t="str">
        <f t="shared" si="8"/>
        <v>Normal Transaction</v>
      </c>
    </row>
    <row r="293" spans="1:13" x14ac:dyDescent="0.35">
      <c r="A293" s="27">
        <v>292</v>
      </c>
      <c r="B293" s="2" t="s">
        <v>31</v>
      </c>
      <c r="C293" s="2" t="s">
        <v>1</v>
      </c>
      <c r="D293" s="2" t="s">
        <v>2</v>
      </c>
      <c r="E293" s="2" t="s">
        <v>9</v>
      </c>
      <c r="F293" s="9" t="s">
        <v>10</v>
      </c>
      <c r="G293" s="9" t="str">
        <f t="shared" si="9"/>
        <v>Stationery</v>
      </c>
      <c r="H293" s="25">
        <v>8.74</v>
      </c>
      <c r="I293" s="6">
        <v>16</v>
      </c>
      <c r="J293" s="25">
        <v>9.7899999999999991</v>
      </c>
      <c r="K293" s="25">
        <v>149.63</v>
      </c>
      <c r="L293" s="9">
        <v>14</v>
      </c>
      <c r="M293" s="39" t="str">
        <f t="shared" si="8"/>
        <v>Normal Transaction</v>
      </c>
    </row>
    <row r="294" spans="1:13" x14ac:dyDescent="0.35">
      <c r="A294" s="27">
        <v>293</v>
      </c>
      <c r="B294" s="2" t="s">
        <v>31</v>
      </c>
      <c r="C294" s="2" t="s">
        <v>1</v>
      </c>
      <c r="D294" s="2" t="s">
        <v>2</v>
      </c>
      <c r="E294" s="2" t="s">
        <v>9</v>
      </c>
      <c r="F294" s="9" t="s">
        <v>12</v>
      </c>
      <c r="G294" s="9" t="str">
        <f t="shared" si="9"/>
        <v>Fruits</v>
      </c>
      <c r="H294" s="25">
        <v>18.32</v>
      </c>
      <c r="I294" s="6">
        <v>9</v>
      </c>
      <c r="J294" s="25">
        <v>11.54</v>
      </c>
      <c r="K294" s="25">
        <v>176.42</v>
      </c>
      <c r="L294" s="9">
        <v>17</v>
      </c>
      <c r="M294" s="39" t="str">
        <f t="shared" si="8"/>
        <v>Normal Transaction</v>
      </c>
    </row>
    <row r="295" spans="1:13" x14ac:dyDescent="0.35">
      <c r="A295" s="27">
        <v>294</v>
      </c>
      <c r="B295" s="2" t="s">
        <v>6</v>
      </c>
      <c r="C295" s="2" t="s">
        <v>7</v>
      </c>
      <c r="D295" s="2" t="s">
        <v>8</v>
      </c>
      <c r="E295" s="2" t="s">
        <v>3</v>
      </c>
      <c r="F295" s="9" t="s">
        <v>4</v>
      </c>
      <c r="G295" s="9" t="str">
        <f t="shared" si="9"/>
        <v>Personal Care</v>
      </c>
      <c r="H295" s="25">
        <v>3.79</v>
      </c>
      <c r="I295" s="6">
        <v>19</v>
      </c>
      <c r="J295" s="25">
        <v>5.04</v>
      </c>
      <c r="K295" s="25">
        <v>77.05</v>
      </c>
      <c r="L295" s="9">
        <v>0</v>
      </c>
      <c r="M295" s="39" t="str">
        <f t="shared" si="8"/>
        <v>Normal Transaction</v>
      </c>
    </row>
    <row r="296" spans="1:13" x14ac:dyDescent="0.35">
      <c r="A296" s="27">
        <v>295</v>
      </c>
      <c r="B296" s="2" t="s">
        <v>6</v>
      </c>
      <c r="C296" s="2" t="s">
        <v>7</v>
      </c>
      <c r="D296" s="2" t="s">
        <v>2</v>
      </c>
      <c r="E296" s="2" t="s">
        <v>3</v>
      </c>
      <c r="F296" s="9" t="s">
        <v>17</v>
      </c>
      <c r="G296" s="9" t="str">
        <f t="shared" si="9"/>
        <v>Beverages</v>
      </c>
      <c r="H296" s="25">
        <v>12.24</v>
      </c>
      <c r="I296" s="6">
        <v>2</v>
      </c>
      <c r="J296" s="25">
        <v>1.71</v>
      </c>
      <c r="K296" s="25">
        <v>26.19</v>
      </c>
      <c r="L296" s="9">
        <v>2</v>
      </c>
      <c r="M296" s="39" t="str">
        <f t="shared" si="8"/>
        <v>Normal Transaction</v>
      </c>
    </row>
    <row r="297" spans="1:13" x14ac:dyDescent="0.35">
      <c r="A297" s="27">
        <v>296</v>
      </c>
      <c r="B297" s="2" t="s">
        <v>31</v>
      </c>
      <c r="C297" s="2" t="s">
        <v>1</v>
      </c>
      <c r="D297" s="2" t="s">
        <v>8</v>
      </c>
      <c r="E297" s="2" t="s">
        <v>3</v>
      </c>
      <c r="F297" s="9" t="s">
        <v>15</v>
      </c>
      <c r="G297" s="9" t="str">
        <f t="shared" si="9"/>
        <v>Household</v>
      </c>
      <c r="H297" s="25">
        <v>1.76</v>
      </c>
      <c r="I297" s="6">
        <v>5</v>
      </c>
      <c r="J297" s="25">
        <v>0.62</v>
      </c>
      <c r="K297" s="25">
        <v>9.42</v>
      </c>
      <c r="L297" s="9">
        <v>0</v>
      </c>
      <c r="M297" s="39" t="str">
        <f t="shared" si="8"/>
        <v>Normal Transaction</v>
      </c>
    </row>
    <row r="298" spans="1:13" x14ac:dyDescent="0.35">
      <c r="A298" s="27">
        <v>297</v>
      </c>
      <c r="B298" s="2" t="s">
        <v>6</v>
      </c>
      <c r="C298" s="2" t="s">
        <v>7</v>
      </c>
      <c r="D298" s="2" t="s">
        <v>2</v>
      </c>
      <c r="E298" s="2" t="s">
        <v>3</v>
      </c>
      <c r="F298" s="9" t="s">
        <v>17</v>
      </c>
      <c r="G298" s="9" t="str">
        <f t="shared" si="9"/>
        <v>Beverages</v>
      </c>
      <c r="H298" s="25">
        <v>13.6</v>
      </c>
      <c r="I298" s="6">
        <v>7</v>
      </c>
      <c r="J298" s="25">
        <v>6.66</v>
      </c>
      <c r="K298" s="25">
        <v>101.86</v>
      </c>
      <c r="L298" s="9">
        <v>10</v>
      </c>
      <c r="M298" s="39" t="str">
        <f t="shared" si="8"/>
        <v>Normal Transaction</v>
      </c>
    </row>
    <row r="299" spans="1:13" x14ac:dyDescent="0.35">
      <c r="A299" s="27">
        <v>298</v>
      </c>
      <c r="B299" s="2" t="s">
        <v>31</v>
      </c>
      <c r="C299" s="2" t="s">
        <v>1</v>
      </c>
      <c r="D299" s="2" t="s">
        <v>2</v>
      </c>
      <c r="E299" s="2" t="s">
        <v>9</v>
      </c>
      <c r="F299" s="9" t="s">
        <v>15</v>
      </c>
      <c r="G299" s="9" t="str">
        <f t="shared" si="9"/>
        <v>Household</v>
      </c>
      <c r="H299" s="25">
        <v>11.97</v>
      </c>
      <c r="I299" s="6">
        <v>7</v>
      </c>
      <c r="J299" s="25">
        <v>5.87</v>
      </c>
      <c r="K299" s="25">
        <v>89.66</v>
      </c>
      <c r="L299" s="9">
        <v>8</v>
      </c>
      <c r="M299" s="39" t="str">
        <f t="shared" si="8"/>
        <v>Normal Transaction</v>
      </c>
    </row>
    <row r="300" spans="1:13" x14ac:dyDescent="0.35">
      <c r="A300" s="27">
        <v>299</v>
      </c>
      <c r="B300" s="2" t="s">
        <v>0</v>
      </c>
      <c r="C300" s="2" t="s">
        <v>14</v>
      </c>
      <c r="D300" s="2" t="s">
        <v>8</v>
      </c>
      <c r="E300" s="2" t="s">
        <v>9</v>
      </c>
      <c r="F300" s="9" t="s">
        <v>17</v>
      </c>
      <c r="G300" s="9" t="str">
        <f t="shared" si="9"/>
        <v>Beverages</v>
      </c>
      <c r="H300" s="25">
        <v>13.49</v>
      </c>
      <c r="I300" s="6">
        <v>15</v>
      </c>
      <c r="J300" s="25">
        <v>14.16</v>
      </c>
      <c r="K300" s="25">
        <v>216.51</v>
      </c>
      <c r="L300" s="9">
        <v>0</v>
      </c>
      <c r="M300" s="39" t="str">
        <f t="shared" si="8"/>
        <v>Normal Transaction</v>
      </c>
    </row>
    <row r="301" spans="1:13" x14ac:dyDescent="0.35">
      <c r="A301" s="27">
        <v>300</v>
      </c>
      <c r="B301" s="2" t="s">
        <v>31</v>
      </c>
      <c r="C301" s="2" t="s">
        <v>1</v>
      </c>
      <c r="D301" s="2" t="s">
        <v>8</v>
      </c>
      <c r="E301" s="2" t="s">
        <v>3</v>
      </c>
      <c r="F301" s="9" t="s">
        <v>12</v>
      </c>
      <c r="G301" s="9" t="str">
        <f t="shared" si="9"/>
        <v>Fruits</v>
      </c>
      <c r="H301" s="25">
        <v>9.85</v>
      </c>
      <c r="I301" s="6">
        <v>12</v>
      </c>
      <c r="J301" s="25">
        <v>8.27</v>
      </c>
      <c r="K301" s="25">
        <v>126.47</v>
      </c>
      <c r="L301" s="9">
        <v>0</v>
      </c>
      <c r="M301" s="39" t="str">
        <f t="shared" si="8"/>
        <v>Normal Transaction</v>
      </c>
    </row>
    <row r="302" spans="1:13" x14ac:dyDescent="0.35">
      <c r="A302" s="27">
        <v>301</v>
      </c>
      <c r="B302" s="2" t="s">
        <v>31</v>
      </c>
      <c r="C302" s="2" t="s">
        <v>1</v>
      </c>
      <c r="D302" s="2" t="s">
        <v>2</v>
      </c>
      <c r="E302" s="2" t="s">
        <v>3</v>
      </c>
      <c r="F302" s="9" t="s">
        <v>4</v>
      </c>
      <c r="G302" s="9" t="str">
        <f t="shared" si="9"/>
        <v>Personal Care</v>
      </c>
      <c r="H302" s="25">
        <v>13.68</v>
      </c>
      <c r="I302" s="6">
        <v>7</v>
      </c>
      <c r="J302" s="25">
        <v>6.7</v>
      </c>
      <c r="K302" s="25">
        <v>102.46</v>
      </c>
      <c r="L302" s="9">
        <v>10</v>
      </c>
      <c r="M302" s="39" t="str">
        <f t="shared" si="8"/>
        <v>Normal Transaction</v>
      </c>
    </row>
    <row r="303" spans="1:13" x14ac:dyDescent="0.35">
      <c r="A303" s="27">
        <v>302</v>
      </c>
      <c r="B303" s="2" t="s">
        <v>0</v>
      </c>
      <c r="C303" s="2" t="s">
        <v>14</v>
      </c>
      <c r="D303" s="2" t="s">
        <v>8</v>
      </c>
      <c r="E303" s="2" t="s">
        <v>3</v>
      </c>
      <c r="F303" s="9" t="s">
        <v>10</v>
      </c>
      <c r="G303" s="9" t="str">
        <f t="shared" si="9"/>
        <v>Stationery</v>
      </c>
      <c r="H303" s="25">
        <v>14.79</v>
      </c>
      <c r="I303" s="6">
        <v>18</v>
      </c>
      <c r="J303" s="25">
        <v>18.64</v>
      </c>
      <c r="K303" s="25">
        <v>284.86</v>
      </c>
      <c r="L303" s="9">
        <v>0</v>
      </c>
      <c r="M303" s="39" t="str">
        <f t="shared" si="8"/>
        <v>Normal Transaction</v>
      </c>
    </row>
    <row r="304" spans="1:13" x14ac:dyDescent="0.35">
      <c r="A304" s="27">
        <v>303</v>
      </c>
      <c r="B304" s="2" t="s">
        <v>0</v>
      </c>
      <c r="C304" s="2" t="s">
        <v>14</v>
      </c>
      <c r="D304" s="2" t="s">
        <v>2</v>
      </c>
      <c r="E304" s="2" t="s">
        <v>9</v>
      </c>
      <c r="F304" s="9" t="s">
        <v>17</v>
      </c>
      <c r="G304" s="9" t="str">
        <f t="shared" si="9"/>
        <v>Beverages</v>
      </c>
      <c r="H304" s="25">
        <v>9.74</v>
      </c>
      <c r="I304" s="6">
        <v>17</v>
      </c>
      <c r="J304" s="25">
        <v>11.59</v>
      </c>
      <c r="K304" s="25">
        <v>177.17</v>
      </c>
      <c r="L304" s="9">
        <v>17</v>
      </c>
      <c r="M304" s="39" t="str">
        <f t="shared" si="8"/>
        <v>Normal Transaction</v>
      </c>
    </row>
    <row r="305" spans="1:13" x14ac:dyDescent="0.35">
      <c r="A305" s="27">
        <v>304</v>
      </c>
      <c r="B305" s="2" t="s">
        <v>31</v>
      </c>
      <c r="C305" s="2" t="s">
        <v>1</v>
      </c>
      <c r="D305" s="2" t="s">
        <v>8</v>
      </c>
      <c r="E305" s="2" t="s">
        <v>3</v>
      </c>
      <c r="F305" s="9" t="s">
        <v>4</v>
      </c>
      <c r="G305" s="9" t="str">
        <f t="shared" si="9"/>
        <v>Personal Care</v>
      </c>
      <c r="H305" s="25">
        <v>6.94</v>
      </c>
      <c r="I305" s="6">
        <v>14</v>
      </c>
      <c r="J305" s="25">
        <v>6.8</v>
      </c>
      <c r="K305" s="25">
        <v>103.96</v>
      </c>
      <c r="L305" s="9">
        <v>0</v>
      </c>
      <c r="M305" s="39" t="str">
        <f t="shared" si="8"/>
        <v>Normal Transaction</v>
      </c>
    </row>
    <row r="306" spans="1:13" x14ac:dyDescent="0.35">
      <c r="A306" s="27">
        <v>305</v>
      </c>
      <c r="B306" s="2" t="s">
        <v>0</v>
      </c>
      <c r="C306" s="2" t="s">
        <v>14</v>
      </c>
      <c r="D306" s="2" t="s">
        <v>2</v>
      </c>
      <c r="E306" s="2" t="s">
        <v>9</v>
      </c>
      <c r="F306" s="9" t="s">
        <v>12</v>
      </c>
      <c r="G306" s="9" t="str">
        <f t="shared" si="9"/>
        <v>Fruits</v>
      </c>
      <c r="H306" s="25">
        <v>2.78</v>
      </c>
      <c r="I306" s="6">
        <v>2</v>
      </c>
      <c r="J306" s="25">
        <v>0.39</v>
      </c>
      <c r="K306" s="25">
        <v>5.95</v>
      </c>
      <c r="L306" s="9">
        <v>0</v>
      </c>
      <c r="M306" s="39" t="str">
        <f t="shared" si="8"/>
        <v>Normal Transaction</v>
      </c>
    </row>
    <row r="307" spans="1:13" x14ac:dyDescent="0.35">
      <c r="A307" s="27">
        <v>306</v>
      </c>
      <c r="B307" s="2" t="s">
        <v>0</v>
      </c>
      <c r="C307" s="2" t="s">
        <v>14</v>
      </c>
      <c r="D307" s="2" t="s">
        <v>2</v>
      </c>
      <c r="E307" s="2" t="s">
        <v>3</v>
      </c>
      <c r="F307" s="9" t="s">
        <v>12</v>
      </c>
      <c r="G307" s="9" t="str">
        <f t="shared" si="9"/>
        <v>Fruits</v>
      </c>
      <c r="H307" s="25">
        <v>17.579999999999998</v>
      </c>
      <c r="I307" s="6">
        <v>1</v>
      </c>
      <c r="J307" s="25">
        <v>1.23</v>
      </c>
      <c r="K307" s="25">
        <v>18.809999999999999</v>
      </c>
      <c r="L307" s="9">
        <v>1</v>
      </c>
      <c r="M307" s="39" t="str">
        <f t="shared" si="8"/>
        <v>Normal Transaction</v>
      </c>
    </row>
    <row r="308" spans="1:13" x14ac:dyDescent="0.35">
      <c r="A308" s="27">
        <v>307</v>
      </c>
      <c r="B308" s="2" t="s">
        <v>6</v>
      </c>
      <c r="C308" s="2" t="s">
        <v>7</v>
      </c>
      <c r="D308" s="2" t="s">
        <v>8</v>
      </c>
      <c r="E308" s="2" t="s">
        <v>9</v>
      </c>
      <c r="F308" s="9" t="s">
        <v>15</v>
      </c>
      <c r="G308" s="9" t="str">
        <f t="shared" si="9"/>
        <v>Household</v>
      </c>
      <c r="H308" s="25">
        <v>14.2</v>
      </c>
      <c r="I308" s="6">
        <v>1</v>
      </c>
      <c r="J308" s="25">
        <v>0.99</v>
      </c>
      <c r="K308" s="25">
        <v>15.19</v>
      </c>
      <c r="L308" s="9">
        <v>0</v>
      </c>
      <c r="M308" s="39" t="str">
        <f t="shared" si="8"/>
        <v>Normal Transaction</v>
      </c>
    </row>
    <row r="309" spans="1:13" x14ac:dyDescent="0.35">
      <c r="A309" s="27">
        <v>308</v>
      </c>
      <c r="B309" s="2" t="s">
        <v>6</v>
      </c>
      <c r="C309" s="2" t="s">
        <v>7</v>
      </c>
      <c r="D309" s="2" t="s">
        <v>2</v>
      </c>
      <c r="E309" s="2" t="s">
        <v>3</v>
      </c>
      <c r="F309" s="9" t="s">
        <v>15</v>
      </c>
      <c r="G309" s="9" t="str">
        <f t="shared" si="9"/>
        <v>Household</v>
      </c>
      <c r="H309" s="25">
        <v>8.26</v>
      </c>
      <c r="I309" s="6">
        <v>4</v>
      </c>
      <c r="J309" s="25">
        <v>2.31</v>
      </c>
      <c r="K309" s="25">
        <v>35.35</v>
      </c>
      <c r="L309" s="9">
        <v>3</v>
      </c>
      <c r="M309" s="39" t="str">
        <f t="shared" si="8"/>
        <v>Normal Transaction</v>
      </c>
    </row>
    <row r="310" spans="1:13" x14ac:dyDescent="0.35">
      <c r="A310" s="27">
        <v>309</v>
      </c>
      <c r="B310" s="2" t="s">
        <v>31</v>
      </c>
      <c r="C310" s="2" t="s">
        <v>1</v>
      </c>
      <c r="D310" s="2" t="s">
        <v>2</v>
      </c>
      <c r="E310" s="2" t="s">
        <v>3</v>
      </c>
      <c r="F310" s="9" t="s">
        <v>17</v>
      </c>
      <c r="G310" s="9" t="str">
        <f t="shared" si="9"/>
        <v>Beverages</v>
      </c>
      <c r="H310" s="25">
        <v>8.6199999999999992</v>
      </c>
      <c r="I310" s="6">
        <v>1</v>
      </c>
      <c r="J310" s="25">
        <v>0.6</v>
      </c>
      <c r="K310" s="25">
        <v>9.2200000000000006</v>
      </c>
      <c r="L310" s="9">
        <v>0</v>
      </c>
      <c r="M310" s="39" t="str">
        <f t="shared" si="8"/>
        <v>Normal Transaction</v>
      </c>
    </row>
    <row r="311" spans="1:13" x14ac:dyDescent="0.35">
      <c r="A311" s="27">
        <v>310</v>
      </c>
      <c r="B311" s="2" t="s">
        <v>0</v>
      </c>
      <c r="C311" s="2" t="s">
        <v>14</v>
      </c>
      <c r="D311" s="2" t="s">
        <v>2</v>
      </c>
      <c r="E311" s="2" t="s">
        <v>3</v>
      </c>
      <c r="F311" s="9" t="s">
        <v>17</v>
      </c>
      <c r="G311" s="9" t="str">
        <f t="shared" si="9"/>
        <v>Beverages</v>
      </c>
      <c r="H311" s="25">
        <v>8.02</v>
      </c>
      <c r="I311" s="6">
        <v>17</v>
      </c>
      <c r="J311" s="25">
        <v>9.5399999999999991</v>
      </c>
      <c r="K311" s="25">
        <v>145.88</v>
      </c>
      <c r="L311" s="9">
        <v>14</v>
      </c>
      <c r="M311" s="39" t="str">
        <f t="shared" si="8"/>
        <v>Normal Transaction</v>
      </c>
    </row>
    <row r="312" spans="1:13" x14ac:dyDescent="0.35">
      <c r="A312" s="27">
        <v>311</v>
      </c>
      <c r="B312" s="2" t="s">
        <v>0</v>
      </c>
      <c r="C312" s="2" t="s">
        <v>14</v>
      </c>
      <c r="D312" s="2" t="s">
        <v>2</v>
      </c>
      <c r="E312" s="2" t="s">
        <v>9</v>
      </c>
      <c r="F312" s="9" t="s">
        <v>12</v>
      </c>
      <c r="G312" s="9" t="str">
        <f t="shared" si="9"/>
        <v>Fruits</v>
      </c>
      <c r="H312" s="25">
        <v>20.18</v>
      </c>
      <c r="I312" s="6">
        <v>5</v>
      </c>
      <c r="J312" s="25">
        <v>7.06</v>
      </c>
      <c r="K312" s="25">
        <v>107.96</v>
      </c>
      <c r="L312" s="9">
        <v>10</v>
      </c>
      <c r="M312" s="39" t="str">
        <f t="shared" si="8"/>
        <v>Normal Transaction</v>
      </c>
    </row>
    <row r="313" spans="1:13" x14ac:dyDescent="0.35">
      <c r="A313" s="27">
        <v>312</v>
      </c>
      <c r="B313" s="2" t="s">
        <v>6</v>
      </c>
      <c r="C313" s="2" t="s">
        <v>7</v>
      </c>
      <c r="D313" s="2" t="s">
        <v>2</v>
      </c>
      <c r="E313" s="2" t="s">
        <v>9</v>
      </c>
      <c r="F313" s="9" t="s">
        <v>15</v>
      </c>
      <c r="G313" s="9" t="str">
        <f t="shared" si="9"/>
        <v>Household</v>
      </c>
      <c r="H313" s="25">
        <v>9.8699999999999992</v>
      </c>
      <c r="I313" s="6">
        <v>4</v>
      </c>
      <c r="J313" s="25">
        <v>2.76</v>
      </c>
      <c r="K313" s="25">
        <v>42.24</v>
      </c>
      <c r="L313" s="9">
        <v>4</v>
      </c>
      <c r="M313" s="39" t="str">
        <f t="shared" si="8"/>
        <v>Normal Transaction</v>
      </c>
    </row>
    <row r="314" spans="1:13" x14ac:dyDescent="0.35">
      <c r="A314" s="27">
        <v>313</v>
      </c>
      <c r="B314" s="2" t="s">
        <v>6</v>
      </c>
      <c r="C314" s="2" t="s">
        <v>7</v>
      </c>
      <c r="D314" s="2" t="s">
        <v>8</v>
      </c>
      <c r="E314" s="2" t="s">
        <v>9</v>
      </c>
      <c r="F314" s="9" t="s">
        <v>15</v>
      </c>
      <c r="G314" s="9" t="str">
        <f t="shared" si="9"/>
        <v>Household</v>
      </c>
      <c r="H314" s="25">
        <v>5.37</v>
      </c>
      <c r="I314" s="6">
        <v>13</v>
      </c>
      <c r="J314" s="25">
        <v>4.8899999999999997</v>
      </c>
      <c r="K314" s="25">
        <v>74.7</v>
      </c>
      <c r="L314" s="9">
        <v>0</v>
      </c>
      <c r="M314" s="39" t="str">
        <f t="shared" si="8"/>
        <v>Normal Transaction</v>
      </c>
    </row>
    <row r="315" spans="1:13" x14ac:dyDescent="0.35">
      <c r="A315" s="27">
        <v>314</v>
      </c>
      <c r="B315" s="2" t="s">
        <v>6</v>
      </c>
      <c r="C315" s="2" t="s">
        <v>7</v>
      </c>
      <c r="D315" s="2" t="s">
        <v>8</v>
      </c>
      <c r="E315" s="2" t="s">
        <v>9</v>
      </c>
      <c r="F315" s="9" t="s">
        <v>10</v>
      </c>
      <c r="G315" s="9" t="str">
        <f t="shared" si="9"/>
        <v>Stationery</v>
      </c>
      <c r="H315" s="25">
        <v>11.36</v>
      </c>
      <c r="I315" s="6">
        <v>3</v>
      </c>
      <c r="J315" s="25">
        <v>2.39</v>
      </c>
      <c r="K315" s="25">
        <v>36.47</v>
      </c>
      <c r="L315" s="9">
        <v>0</v>
      </c>
      <c r="M315" s="39" t="str">
        <f t="shared" si="8"/>
        <v>Normal Transaction</v>
      </c>
    </row>
    <row r="316" spans="1:13" x14ac:dyDescent="0.35">
      <c r="A316" s="27">
        <v>315</v>
      </c>
      <c r="B316" s="2" t="s">
        <v>6</v>
      </c>
      <c r="C316" s="2" t="s">
        <v>7</v>
      </c>
      <c r="D316" s="2" t="s">
        <v>2</v>
      </c>
      <c r="E316" s="2" t="s">
        <v>9</v>
      </c>
      <c r="F316" s="9" t="s">
        <v>15</v>
      </c>
      <c r="G316" s="9" t="str">
        <f t="shared" si="9"/>
        <v>Household</v>
      </c>
      <c r="H316" s="25">
        <v>1.1000000000000001</v>
      </c>
      <c r="I316" s="6">
        <v>5</v>
      </c>
      <c r="J316" s="25">
        <v>0.39</v>
      </c>
      <c r="K316" s="25">
        <v>5.89</v>
      </c>
      <c r="L316" s="9">
        <v>0</v>
      </c>
      <c r="M316" s="39" t="str">
        <f t="shared" si="8"/>
        <v>Normal Transaction</v>
      </c>
    </row>
    <row r="317" spans="1:13" x14ac:dyDescent="0.35">
      <c r="A317" s="27">
        <v>316</v>
      </c>
      <c r="B317" s="2" t="s">
        <v>31</v>
      </c>
      <c r="C317" s="2" t="s">
        <v>1</v>
      </c>
      <c r="D317" s="2" t="s">
        <v>8</v>
      </c>
      <c r="E317" s="2" t="s">
        <v>9</v>
      </c>
      <c r="F317" s="9" t="s">
        <v>4</v>
      </c>
      <c r="G317" s="9" t="str">
        <f t="shared" si="9"/>
        <v>Personal Care</v>
      </c>
      <c r="H317" s="25">
        <v>1.0900000000000001</v>
      </c>
      <c r="I317" s="6">
        <v>4</v>
      </c>
      <c r="J317" s="25">
        <v>0.31</v>
      </c>
      <c r="K317" s="25">
        <v>4.67</v>
      </c>
      <c r="L317" s="9">
        <v>0</v>
      </c>
      <c r="M317" s="39" t="str">
        <f t="shared" si="8"/>
        <v>Normal Transaction</v>
      </c>
    </row>
    <row r="318" spans="1:13" x14ac:dyDescent="0.35">
      <c r="A318" s="27">
        <v>317</v>
      </c>
      <c r="B318" s="2" t="s">
        <v>0</v>
      </c>
      <c r="C318" s="2" t="s">
        <v>14</v>
      </c>
      <c r="D318" s="2" t="s">
        <v>8</v>
      </c>
      <c r="E318" s="2" t="s">
        <v>9</v>
      </c>
      <c r="F318" s="9" t="s">
        <v>17</v>
      </c>
      <c r="G318" s="9" t="str">
        <f t="shared" si="9"/>
        <v>Beverages</v>
      </c>
      <c r="H318" s="25">
        <v>3.07</v>
      </c>
      <c r="I318" s="6">
        <v>18</v>
      </c>
      <c r="J318" s="25">
        <v>3.87</v>
      </c>
      <c r="K318" s="25">
        <v>59.13</v>
      </c>
      <c r="L318" s="9">
        <v>0</v>
      </c>
      <c r="M318" s="39" t="str">
        <f t="shared" si="8"/>
        <v>Normal Transaction</v>
      </c>
    </row>
    <row r="319" spans="1:13" x14ac:dyDescent="0.35">
      <c r="A319" s="27">
        <v>318</v>
      </c>
      <c r="B319" s="2" t="s">
        <v>0</v>
      </c>
      <c r="C319" s="2" t="s">
        <v>14</v>
      </c>
      <c r="D319" s="2" t="s">
        <v>8</v>
      </c>
      <c r="E319" s="2" t="s">
        <v>9</v>
      </c>
      <c r="F319" s="9" t="s">
        <v>10</v>
      </c>
      <c r="G319" s="9" t="str">
        <f t="shared" si="9"/>
        <v>Stationery</v>
      </c>
      <c r="H319" s="25">
        <v>16.36</v>
      </c>
      <c r="I319" s="6">
        <v>16</v>
      </c>
      <c r="J319" s="25">
        <v>18.32</v>
      </c>
      <c r="K319" s="25">
        <v>280.08</v>
      </c>
      <c r="L319" s="9">
        <v>0</v>
      </c>
      <c r="M319" s="39" t="str">
        <f t="shared" si="8"/>
        <v>Normal Transaction</v>
      </c>
    </row>
    <row r="320" spans="1:13" x14ac:dyDescent="0.35">
      <c r="A320" s="27">
        <v>319</v>
      </c>
      <c r="B320" s="2" t="s">
        <v>6</v>
      </c>
      <c r="C320" s="2" t="s">
        <v>7</v>
      </c>
      <c r="D320" s="2" t="s">
        <v>2</v>
      </c>
      <c r="E320" s="2" t="s">
        <v>9</v>
      </c>
      <c r="F320" s="9" t="s">
        <v>10</v>
      </c>
      <c r="G320" s="9" t="str">
        <f t="shared" si="9"/>
        <v>Stationery</v>
      </c>
      <c r="H320" s="25">
        <v>15.79</v>
      </c>
      <c r="I320" s="6">
        <v>8</v>
      </c>
      <c r="J320" s="25">
        <v>8.84</v>
      </c>
      <c r="K320" s="25">
        <v>135.16</v>
      </c>
      <c r="L320" s="9">
        <v>13</v>
      </c>
      <c r="M320" s="39" t="str">
        <f t="shared" si="8"/>
        <v>Normal Transaction</v>
      </c>
    </row>
    <row r="321" spans="1:13" x14ac:dyDescent="0.35">
      <c r="A321" s="27">
        <v>320</v>
      </c>
      <c r="B321" s="2" t="s">
        <v>31</v>
      </c>
      <c r="C321" s="2" t="s">
        <v>1</v>
      </c>
      <c r="D321" s="2" t="s">
        <v>8</v>
      </c>
      <c r="E321" s="2" t="s">
        <v>3</v>
      </c>
      <c r="F321" s="9" t="s">
        <v>10</v>
      </c>
      <c r="G321" s="9" t="str">
        <f t="shared" si="9"/>
        <v>Stationery</v>
      </c>
      <c r="H321" s="25">
        <v>16.89</v>
      </c>
      <c r="I321" s="6">
        <v>20</v>
      </c>
      <c r="J321" s="25">
        <v>23.65</v>
      </c>
      <c r="K321" s="25">
        <v>361.45</v>
      </c>
      <c r="L321" s="9">
        <v>0</v>
      </c>
      <c r="M321" s="39" t="str">
        <f t="shared" si="8"/>
        <v>Normal Transaction</v>
      </c>
    </row>
    <row r="322" spans="1:13" x14ac:dyDescent="0.35">
      <c r="A322" s="27">
        <v>321</v>
      </c>
      <c r="B322" s="2" t="s">
        <v>6</v>
      </c>
      <c r="C322" s="2" t="s">
        <v>7</v>
      </c>
      <c r="D322" s="2" t="s">
        <v>8</v>
      </c>
      <c r="E322" s="2" t="s">
        <v>3</v>
      </c>
      <c r="F322" s="9" t="s">
        <v>10</v>
      </c>
      <c r="G322" s="9" t="str">
        <f t="shared" si="9"/>
        <v>Stationery</v>
      </c>
      <c r="H322" s="25">
        <v>13.46</v>
      </c>
      <c r="I322" s="6">
        <v>15</v>
      </c>
      <c r="J322" s="25">
        <v>14.13</v>
      </c>
      <c r="K322" s="25">
        <v>216.03</v>
      </c>
      <c r="L322" s="9">
        <v>0</v>
      </c>
      <c r="M322" s="39" t="str">
        <f t="shared" ref="M322:M385" si="10">IF(K322 &gt; 382.93, "Outlier (Extreme Spend)", "Normal Transaction")</f>
        <v>Normal Transaction</v>
      </c>
    </row>
    <row r="323" spans="1:13" x14ac:dyDescent="0.35">
      <c r="A323" s="27">
        <v>322</v>
      </c>
      <c r="B323" s="2" t="s">
        <v>0</v>
      </c>
      <c r="C323" s="2" t="s">
        <v>14</v>
      </c>
      <c r="D323" s="2" t="s">
        <v>2</v>
      </c>
      <c r="E323" s="2" t="s">
        <v>9</v>
      </c>
      <c r="F323" s="9" t="s">
        <v>12</v>
      </c>
      <c r="G323" s="9" t="str">
        <f t="shared" ref="G323:G386" si="11">_xlfn.XLOOKUP(F323,$Q$2:$Q$6,$R$2:$R$6,"Unknown")</f>
        <v>Fruits</v>
      </c>
      <c r="H323" s="25">
        <v>4.3099999999999996</v>
      </c>
      <c r="I323" s="6">
        <v>16</v>
      </c>
      <c r="J323" s="25">
        <v>4.83</v>
      </c>
      <c r="K323" s="25">
        <v>73.790000000000006</v>
      </c>
      <c r="L323" s="9">
        <v>7</v>
      </c>
      <c r="M323" s="39" t="str">
        <f t="shared" si="10"/>
        <v>Normal Transaction</v>
      </c>
    </row>
    <row r="324" spans="1:13" x14ac:dyDescent="0.35">
      <c r="A324" s="27">
        <v>323</v>
      </c>
      <c r="B324" s="2" t="s">
        <v>6</v>
      </c>
      <c r="C324" s="2" t="s">
        <v>7</v>
      </c>
      <c r="D324" s="2" t="s">
        <v>2</v>
      </c>
      <c r="E324" s="2" t="s">
        <v>3</v>
      </c>
      <c r="F324" s="9" t="s">
        <v>17</v>
      </c>
      <c r="G324" s="9" t="str">
        <f t="shared" si="11"/>
        <v>Beverages</v>
      </c>
      <c r="H324" s="25">
        <v>19.14</v>
      </c>
      <c r="I324" s="6">
        <v>5</v>
      </c>
      <c r="J324" s="25">
        <v>6.7</v>
      </c>
      <c r="K324" s="25">
        <v>102.4</v>
      </c>
      <c r="L324" s="9">
        <v>10</v>
      </c>
      <c r="M324" s="39" t="str">
        <f t="shared" si="10"/>
        <v>Normal Transaction</v>
      </c>
    </row>
    <row r="325" spans="1:13" x14ac:dyDescent="0.35">
      <c r="A325" s="27">
        <v>324</v>
      </c>
      <c r="B325" s="2" t="s">
        <v>0</v>
      </c>
      <c r="C325" s="2" t="s">
        <v>14</v>
      </c>
      <c r="D325" s="2" t="s">
        <v>8</v>
      </c>
      <c r="E325" s="2" t="s">
        <v>3</v>
      </c>
      <c r="F325" s="9" t="s">
        <v>10</v>
      </c>
      <c r="G325" s="9" t="str">
        <f t="shared" si="11"/>
        <v>Stationery</v>
      </c>
      <c r="H325" s="25">
        <v>1.5</v>
      </c>
      <c r="I325" s="6">
        <v>13</v>
      </c>
      <c r="J325" s="25">
        <v>1.37</v>
      </c>
      <c r="K325" s="25">
        <v>20.87</v>
      </c>
      <c r="L325" s="9">
        <v>0</v>
      </c>
      <c r="M325" s="39" t="str">
        <f t="shared" si="10"/>
        <v>Normal Transaction</v>
      </c>
    </row>
    <row r="326" spans="1:13" x14ac:dyDescent="0.35">
      <c r="A326" s="27">
        <v>325</v>
      </c>
      <c r="B326" s="2" t="s">
        <v>6</v>
      </c>
      <c r="C326" s="2" t="s">
        <v>7</v>
      </c>
      <c r="D326" s="2" t="s">
        <v>2</v>
      </c>
      <c r="E326" s="2" t="s">
        <v>9</v>
      </c>
      <c r="F326" s="9" t="s">
        <v>15</v>
      </c>
      <c r="G326" s="9" t="str">
        <f t="shared" si="11"/>
        <v>Household</v>
      </c>
      <c r="H326" s="25">
        <v>18.3</v>
      </c>
      <c r="I326" s="6">
        <v>19</v>
      </c>
      <c r="J326" s="25">
        <v>24.34</v>
      </c>
      <c r="K326" s="25">
        <v>372.04</v>
      </c>
      <c r="L326" s="9">
        <v>37</v>
      </c>
      <c r="M326" s="39" t="str">
        <f t="shared" si="10"/>
        <v>Normal Transaction</v>
      </c>
    </row>
    <row r="327" spans="1:13" x14ac:dyDescent="0.35">
      <c r="A327" s="27">
        <v>326</v>
      </c>
      <c r="B327" s="2" t="s">
        <v>6</v>
      </c>
      <c r="C327" s="2" t="s">
        <v>7</v>
      </c>
      <c r="D327" s="2" t="s">
        <v>8</v>
      </c>
      <c r="E327" s="2" t="s">
        <v>3</v>
      </c>
      <c r="F327" s="9" t="s">
        <v>12</v>
      </c>
      <c r="G327" s="9" t="str">
        <f t="shared" si="11"/>
        <v>Fruits</v>
      </c>
      <c r="H327" s="25">
        <v>5.13</v>
      </c>
      <c r="I327" s="6">
        <v>14</v>
      </c>
      <c r="J327" s="25">
        <v>5.03</v>
      </c>
      <c r="K327" s="25">
        <v>76.849999999999994</v>
      </c>
      <c r="L327" s="9">
        <v>0</v>
      </c>
      <c r="M327" s="39" t="str">
        <f t="shared" si="10"/>
        <v>Normal Transaction</v>
      </c>
    </row>
    <row r="328" spans="1:13" x14ac:dyDescent="0.35">
      <c r="A328" s="27">
        <v>327</v>
      </c>
      <c r="B328" s="2" t="s">
        <v>6</v>
      </c>
      <c r="C328" s="2" t="s">
        <v>7</v>
      </c>
      <c r="D328" s="2" t="s">
        <v>2</v>
      </c>
      <c r="E328" s="2" t="s">
        <v>3</v>
      </c>
      <c r="F328" s="9" t="s">
        <v>4</v>
      </c>
      <c r="G328" s="9" t="str">
        <f t="shared" si="11"/>
        <v>Personal Care</v>
      </c>
      <c r="H328" s="25">
        <v>4.25</v>
      </c>
      <c r="I328" s="6">
        <v>11</v>
      </c>
      <c r="J328" s="25">
        <v>3.27</v>
      </c>
      <c r="K328" s="25">
        <v>50.02</v>
      </c>
      <c r="L328" s="9">
        <v>5</v>
      </c>
      <c r="M328" s="39" t="str">
        <f t="shared" si="10"/>
        <v>Normal Transaction</v>
      </c>
    </row>
    <row r="329" spans="1:13" x14ac:dyDescent="0.35">
      <c r="A329" s="27">
        <v>328</v>
      </c>
      <c r="B329" s="2" t="s">
        <v>6</v>
      </c>
      <c r="C329" s="2" t="s">
        <v>7</v>
      </c>
      <c r="D329" s="2" t="s">
        <v>2</v>
      </c>
      <c r="E329" s="2" t="s">
        <v>3</v>
      </c>
      <c r="F329" s="9" t="s">
        <v>4</v>
      </c>
      <c r="G329" s="9" t="str">
        <f t="shared" si="11"/>
        <v>Personal Care</v>
      </c>
      <c r="H329" s="25">
        <v>18.22</v>
      </c>
      <c r="I329" s="6">
        <v>5</v>
      </c>
      <c r="J329" s="25">
        <v>6.38</v>
      </c>
      <c r="K329" s="25">
        <v>97.48</v>
      </c>
      <c r="L329" s="9">
        <v>9</v>
      </c>
      <c r="M329" s="39" t="str">
        <f t="shared" si="10"/>
        <v>Normal Transaction</v>
      </c>
    </row>
    <row r="330" spans="1:13" x14ac:dyDescent="0.35">
      <c r="A330" s="27">
        <v>329</v>
      </c>
      <c r="B330" s="2" t="s">
        <v>6</v>
      </c>
      <c r="C330" s="2" t="s">
        <v>7</v>
      </c>
      <c r="D330" s="2" t="s">
        <v>8</v>
      </c>
      <c r="E330" s="2" t="s">
        <v>9</v>
      </c>
      <c r="F330" s="9" t="s">
        <v>17</v>
      </c>
      <c r="G330" s="9" t="str">
        <f t="shared" si="11"/>
        <v>Beverages</v>
      </c>
      <c r="H330" s="25">
        <v>1.24</v>
      </c>
      <c r="I330" s="6">
        <v>10</v>
      </c>
      <c r="J330" s="25">
        <v>0.87</v>
      </c>
      <c r="K330" s="25">
        <v>13.27</v>
      </c>
      <c r="L330" s="9">
        <v>0</v>
      </c>
      <c r="M330" s="39" t="str">
        <f t="shared" si="10"/>
        <v>Normal Transaction</v>
      </c>
    </row>
    <row r="331" spans="1:13" x14ac:dyDescent="0.35">
      <c r="A331" s="27">
        <v>330</v>
      </c>
      <c r="B331" s="2" t="s">
        <v>6</v>
      </c>
      <c r="C331" s="2" t="s">
        <v>7</v>
      </c>
      <c r="D331" s="2" t="s">
        <v>8</v>
      </c>
      <c r="E331" s="2" t="s">
        <v>9</v>
      </c>
      <c r="F331" s="9" t="s">
        <v>15</v>
      </c>
      <c r="G331" s="9" t="str">
        <f t="shared" si="11"/>
        <v>Household</v>
      </c>
      <c r="H331" s="25">
        <v>4.9000000000000004</v>
      </c>
      <c r="I331" s="6">
        <v>12</v>
      </c>
      <c r="J331" s="25">
        <v>4.12</v>
      </c>
      <c r="K331" s="25">
        <v>62.92</v>
      </c>
      <c r="L331" s="9">
        <v>0</v>
      </c>
      <c r="M331" s="39" t="str">
        <f t="shared" si="10"/>
        <v>Normal Transaction</v>
      </c>
    </row>
    <row r="332" spans="1:13" x14ac:dyDescent="0.35">
      <c r="A332" s="27">
        <v>331</v>
      </c>
      <c r="B332" s="2" t="s">
        <v>6</v>
      </c>
      <c r="C332" s="2" t="s">
        <v>7</v>
      </c>
      <c r="D332" s="2" t="s">
        <v>2</v>
      </c>
      <c r="E332" s="2" t="s">
        <v>9</v>
      </c>
      <c r="F332" s="9" t="s">
        <v>10</v>
      </c>
      <c r="G332" s="9" t="str">
        <f t="shared" si="11"/>
        <v>Stationery</v>
      </c>
      <c r="H332" s="25">
        <v>12.75</v>
      </c>
      <c r="I332" s="6">
        <v>3</v>
      </c>
      <c r="J332" s="25">
        <v>2.68</v>
      </c>
      <c r="K332" s="25">
        <v>40.93</v>
      </c>
      <c r="L332" s="9">
        <v>4</v>
      </c>
      <c r="M332" s="39" t="str">
        <f t="shared" si="10"/>
        <v>Normal Transaction</v>
      </c>
    </row>
    <row r="333" spans="1:13" x14ac:dyDescent="0.35">
      <c r="A333" s="27">
        <v>332</v>
      </c>
      <c r="B333" s="2" t="s">
        <v>31</v>
      </c>
      <c r="C333" s="2" t="s">
        <v>1</v>
      </c>
      <c r="D333" s="2" t="s">
        <v>2</v>
      </c>
      <c r="E333" s="2" t="s">
        <v>9</v>
      </c>
      <c r="F333" s="9" t="s">
        <v>10</v>
      </c>
      <c r="G333" s="9" t="str">
        <f t="shared" si="11"/>
        <v>Stationery</v>
      </c>
      <c r="H333" s="25">
        <v>20.53</v>
      </c>
      <c r="I333" s="6">
        <v>18</v>
      </c>
      <c r="J333" s="25">
        <v>25.87</v>
      </c>
      <c r="K333" s="25">
        <v>395.41</v>
      </c>
      <c r="L333" s="9">
        <v>39</v>
      </c>
      <c r="M333" s="39" t="str">
        <f t="shared" si="10"/>
        <v>Outlier (Extreme Spend)</v>
      </c>
    </row>
    <row r="334" spans="1:13" x14ac:dyDescent="0.35">
      <c r="A334" s="27">
        <v>333</v>
      </c>
      <c r="B334" s="2" t="s">
        <v>31</v>
      </c>
      <c r="C334" s="2" t="s">
        <v>1</v>
      </c>
      <c r="D334" s="2" t="s">
        <v>2</v>
      </c>
      <c r="E334" s="2" t="s">
        <v>3</v>
      </c>
      <c r="F334" s="9" t="s">
        <v>12</v>
      </c>
      <c r="G334" s="9" t="str">
        <f t="shared" si="11"/>
        <v>Fruits</v>
      </c>
      <c r="H334" s="25">
        <v>19.18</v>
      </c>
      <c r="I334" s="6">
        <v>4</v>
      </c>
      <c r="J334" s="25">
        <v>5.37</v>
      </c>
      <c r="K334" s="25">
        <v>82.09</v>
      </c>
      <c r="L334" s="9">
        <v>8</v>
      </c>
      <c r="M334" s="39" t="str">
        <f t="shared" si="10"/>
        <v>Normal Transaction</v>
      </c>
    </row>
    <row r="335" spans="1:13" x14ac:dyDescent="0.35">
      <c r="A335" s="27">
        <v>334</v>
      </c>
      <c r="B335" s="2" t="s">
        <v>6</v>
      </c>
      <c r="C335" s="2" t="s">
        <v>7</v>
      </c>
      <c r="D335" s="2" t="s">
        <v>2</v>
      </c>
      <c r="E335" s="2" t="s">
        <v>3</v>
      </c>
      <c r="F335" s="9" t="s">
        <v>12</v>
      </c>
      <c r="G335" s="9" t="str">
        <f t="shared" si="11"/>
        <v>Fruits</v>
      </c>
      <c r="H335" s="25">
        <v>17.71</v>
      </c>
      <c r="I335" s="6">
        <v>13</v>
      </c>
      <c r="J335" s="25">
        <v>16.12</v>
      </c>
      <c r="K335" s="25">
        <v>246.35</v>
      </c>
      <c r="L335" s="9">
        <v>24</v>
      </c>
      <c r="M335" s="39" t="str">
        <f t="shared" si="10"/>
        <v>Normal Transaction</v>
      </c>
    </row>
    <row r="336" spans="1:13" x14ac:dyDescent="0.35">
      <c r="A336" s="27">
        <v>335</v>
      </c>
      <c r="B336" s="2" t="s">
        <v>0</v>
      </c>
      <c r="C336" s="2" t="s">
        <v>14</v>
      </c>
      <c r="D336" s="2" t="s">
        <v>2</v>
      </c>
      <c r="E336" s="2" t="s">
        <v>9</v>
      </c>
      <c r="F336" s="9" t="s">
        <v>12</v>
      </c>
      <c r="G336" s="9" t="str">
        <f t="shared" si="11"/>
        <v>Fruits</v>
      </c>
      <c r="H336" s="25">
        <v>18.25</v>
      </c>
      <c r="I336" s="6">
        <v>14</v>
      </c>
      <c r="J336" s="25">
        <v>17.89</v>
      </c>
      <c r="K336" s="25">
        <v>273.39</v>
      </c>
      <c r="L336" s="9">
        <v>27</v>
      </c>
      <c r="M336" s="39" t="str">
        <f t="shared" si="10"/>
        <v>Normal Transaction</v>
      </c>
    </row>
    <row r="337" spans="1:13" x14ac:dyDescent="0.35">
      <c r="A337" s="27">
        <v>336</v>
      </c>
      <c r="B337" s="2" t="s">
        <v>0</v>
      </c>
      <c r="C337" s="2" t="s">
        <v>14</v>
      </c>
      <c r="D337" s="2" t="s">
        <v>8</v>
      </c>
      <c r="E337" s="2" t="s">
        <v>3</v>
      </c>
      <c r="F337" s="9" t="s">
        <v>4</v>
      </c>
      <c r="G337" s="9" t="str">
        <f t="shared" si="11"/>
        <v>Personal Care</v>
      </c>
      <c r="H337" s="25">
        <v>9.5</v>
      </c>
      <c r="I337" s="6">
        <v>12</v>
      </c>
      <c r="J337" s="25">
        <v>7.98</v>
      </c>
      <c r="K337" s="25">
        <v>121.98</v>
      </c>
      <c r="L337" s="9">
        <v>0</v>
      </c>
      <c r="M337" s="39" t="str">
        <f t="shared" si="10"/>
        <v>Normal Transaction</v>
      </c>
    </row>
    <row r="338" spans="1:13" x14ac:dyDescent="0.35">
      <c r="A338" s="27">
        <v>337</v>
      </c>
      <c r="B338" s="2" t="s">
        <v>31</v>
      </c>
      <c r="C338" s="2" t="s">
        <v>1</v>
      </c>
      <c r="D338" s="2" t="s">
        <v>2</v>
      </c>
      <c r="E338" s="2" t="s">
        <v>9</v>
      </c>
      <c r="F338" s="9" t="s">
        <v>10</v>
      </c>
      <c r="G338" s="9" t="str">
        <f t="shared" si="11"/>
        <v>Stationery</v>
      </c>
      <c r="H338" s="25">
        <v>6.5</v>
      </c>
      <c r="I338" s="6">
        <v>5</v>
      </c>
      <c r="J338" s="25">
        <v>2.2799999999999998</v>
      </c>
      <c r="K338" s="25">
        <v>34.78</v>
      </c>
      <c r="L338" s="9">
        <v>3</v>
      </c>
      <c r="M338" s="39" t="str">
        <f t="shared" si="10"/>
        <v>Normal Transaction</v>
      </c>
    </row>
    <row r="339" spans="1:13" x14ac:dyDescent="0.35">
      <c r="A339" s="27">
        <v>338</v>
      </c>
      <c r="B339" s="2" t="s">
        <v>6</v>
      </c>
      <c r="C339" s="2" t="s">
        <v>7</v>
      </c>
      <c r="D339" s="2" t="s">
        <v>2</v>
      </c>
      <c r="E339" s="2" t="s">
        <v>9</v>
      </c>
      <c r="F339" s="9" t="s">
        <v>15</v>
      </c>
      <c r="G339" s="9" t="str">
        <f t="shared" si="11"/>
        <v>Household</v>
      </c>
      <c r="H339" s="25">
        <v>9.19</v>
      </c>
      <c r="I339" s="6">
        <v>2</v>
      </c>
      <c r="J339" s="25">
        <v>1.29</v>
      </c>
      <c r="K339" s="25">
        <v>19.670000000000002</v>
      </c>
      <c r="L339" s="9">
        <v>1</v>
      </c>
      <c r="M339" s="39" t="str">
        <f t="shared" si="10"/>
        <v>Normal Transaction</v>
      </c>
    </row>
    <row r="340" spans="1:13" x14ac:dyDescent="0.35">
      <c r="A340" s="27">
        <v>339</v>
      </c>
      <c r="B340" s="2" t="s">
        <v>6</v>
      </c>
      <c r="C340" s="2" t="s">
        <v>7</v>
      </c>
      <c r="D340" s="2" t="s">
        <v>2</v>
      </c>
      <c r="E340" s="2" t="s">
        <v>3</v>
      </c>
      <c r="F340" s="9" t="s">
        <v>10</v>
      </c>
      <c r="G340" s="9" t="str">
        <f t="shared" si="11"/>
        <v>Stationery</v>
      </c>
      <c r="H340" s="25">
        <v>9.59</v>
      </c>
      <c r="I340" s="6">
        <v>20</v>
      </c>
      <c r="J340" s="25">
        <v>13.43</v>
      </c>
      <c r="K340" s="25">
        <v>205.23</v>
      </c>
      <c r="L340" s="9">
        <v>20</v>
      </c>
      <c r="M340" s="39" t="str">
        <f t="shared" si="10"/>
        <v>Normal Transaction</v>
      </c>
    </row>
    <row r="341" spans="1:13" x14ac:dyDescent="0.35">
      <c r="A341" s="27">
        <v>340</v>
      </c>
      <c r="B341" s="2" t="s">
        <v>6</v>
      </c>
      <c r="C341" s="2" t="s">
        <v>7</v>
      </c>
      <c r="D341" s="2" t="s">
        <v>2</v>
      </c>
      <c r="E341" s="2" t="s">
        <v>9</v>
      </c>
      <c r="F341" s="9" t="s">
        <v>17</v>
      </c>
      <c r="G341" s="9" t="str">
        <f t="shared" si="11"/>
        <v>Beverages</v>
      </c>
      <c r="H341" s="25">
        <v>8.85</v>
      </c>
      <c r="I341" s="6">
        <v>18</v>
      </c>
      <c r="J341" s="25">
        <v>11.15</v>
      </c>
      <c r="K341" s="25">
        <v>170.45</v>
      </c>
      <c r="L341" s="9">
        <v>17</v>
      </c>
      <c r="M341" s="39" t="str">
        <f t="shared" si="10"/>
        <v>Normal Transaction</v>
      </c>
    </row>
    <row r="342" spans="1:13" x14ac:dyDescent="0.35">
      <c r="A342" s="27">
        <v>341</v>
      </c>
      <c r="B342" s="2" t="s">
        <v>31</v>
      </c>
      <c r="C342" s="2" t="s">
        <v>1</v>
      </c>
      <c r="D342" s="2" t="s">
        <v>8</v>
      </c>
      <c r="E342" s="2" t="s">
        <v>3</v>
      </c>
      <c r="F342" s="9" t="s">
        <v>4</v>
      </c>
      <c r="G342" s="9" t="str">
        <f t="shared" si="11"/>
        <v>Personal Care</v>
      </c>
      <c r="H342" s="25">
        <v>7.01</v>
      </c>
      <c r="I342" s="6">
        <v>12</v>
      </c>
      <c r="J342" s="25">
        <v>5.89</v>
      </c>
      <c r="K342" s="25">
        <v>90.01</v>
      </c>
      <c r="L342" s="9">
        <v>0</v>
      </c>
      <c r="M342" s="39" t="str">
        <f t="shared" si="10"/>
        <v>Normal Transaction</v>
      </c>
    </row>
    <row r="343" spans="1:13" x14ac:dyDescent="0.35">
      <c r="A343" s="27">
        <v>342</v>
      </c>
      <c r="B343" s="2" t="s">
        <v>6</v>
      </c>
      <c r="C343" s="2" t="s">
        <v>7</v>
      </c>
      <c r="D343" s="2" t="s">
        <v>8</v>
      </c>
      <c r="E343" s="2" t="s">
        <v>3</v>
      </c>
      <c r="F343" s="9" t="s">
        <v>4</v>
      </c>
      <c r="G343" s="9" t="str">
        <f t="shared" si="11"/>
        <v>Personal Care</v>
      </c>
      <c r="H343" s="25">
        <v>15.87</v>
      </c>
      <c r="I343" s="6">
        <v>2</v>
      </c>
      <c r="J343" s="25">
        <v>2.2200000000000002</v>
      </c>
      <c r="K343" s="25">
        <v>33.96</v>
      </c>
      <c r="L343" s="9">
        <v>0</v>
      </c>
      <c r="M343" s="39" t="str">
        <f t="shared" si="10"/>
        <v>Normal Transaction</v>
      </c>
    </row>
    <row r="344" spans="1:13" x14ac:dyDescent="0.35">
      <c r="A344" s="27">
        <v>343</v>
      </c>
      <c r="B344" s="2" t="s">
        <v>0</v>
      </c>
      <c r="C344" s="2" t="s">
        <v>14</v>
      </c>
      <c r="D344" s="2" t="s">
        <v>2</v>
      </c>
      <c r="E344" s="2" t="s">
        <v>3</v>
      </c>
      <c r="F344" s="9" t="s">
        <v>12</v>
      </c>
      <c r="G344" s="9" t="str">
        <f t="shared" si="11"/>
        <v>Fruits</v>
      </c>
      <c r="H344" s="25">
        <v>4.59</v>
      </c>
      <c r="I344" s="6">
        <v>13</v>
      </c>
      <c r="J344" s="25">
        <v>4.18</v>
      </c>
      <c r="K344" s="25">
        <v>63.85</v>
      </c>
      <c r="L344" s="9">
        <v>6</v>
      </c>
      <c r="M344" s="39" t="str">
        <f t="shared" si="10"/>
        <v>Normal Transaction</v>
      </c>
    </row>
    <row r="345" spans="1:13" x14ac:dyDescent="0.35">
      <c r="A345" s="27">
        <v>344</v>
      </c>
      <c r="B345" s="2" t="s">
        <v>31</v>
      </c>
      <c r="C345" s="2" t="s">
        <v>1</v>
      </c>
      <c r="D345" s="2" t="s">
        <v>8</v>
      </c>
      <c r="E345" s="2" t="s">
        <v>9</v>
      </c>
      <c r="F345" s="9" t="s">
        <v>12</v>
      </c>
      <c r="G345" s="9" t="str">
        <f t="shared" si="11"/>
        <v>Fruits</v>
      </c>
      <c r="H345" s="25">
        <v>15.37</v>
      </c>
      <c r="I345" s="6">
        <v>9</v>
      </c>
      <c r="J345" s="25">
        <v>9.68</v>
      </c>
      <c r="K345" s="25">
        <v>148.01</v>
      </c>
      <c r="L345" s="9">
        <v>0</v>
      </c>
      <c r="M345" s="39" t="str">
        <f t="shared" si="10"/>
        <v>Normal Transaction</v>
      </c>
    </row>
    <row r="346" spans="1:13" x14ac:dyDescent="0.35">
      <c r="A346" s="27">
        <v>345</v>
      </c>
      <c r="B346" s="2" t="s">
        <v>31</v>
      </c>
      <c r="C346" s="2" t="s">
        <v>1</v>
      </c>
      <c r="D346" s="2" t="s">
        <v>8</v>
      </c>
      <c r="E346" s="2" t="s">
        <v>9</v>
      </c>
      <c r="F346" s="9" t="s">
        <v>12</v>
      </c>
      <c r="G346" s="9" t="str">
        <f t="shared" si="11"/>
        <v>Fruits</v>
      </c>
      <c r="H346" s="25">
        <v>10.07</v>
      </c>
      <c r="I346" s="6">
        <v>7</v>
      </c>
      <c r="J346" s="25">
        <v>4.93</v>
      </c>
      <c r="K346" s="25">
        <v>75.42</v>
      </c>
      <c r="L346" s="9">
        <v>0</v>
      </c>
      <c r="M346" s="39" t="str">
        <f t="shared" si="10"/>
        <v>Normal Transaction</v>
      </c>
    </row>
    <row r="347" spans="1:13" x14ac:dyDescent="0.35">
      <c r="A347" s="27">
        <v>346</v>
      </c>
      <c r="B347" s="2" t="s">
        <v>0</v>
      </c>
      <c r="C347" s="2" t="s">
        <v>14</v>
      </c>
      <c r="D347" s="2" t="s">
        <v>8</v>
      </c>
      <c r="E347" s="2" t="s">
        <v>3</v>
      </c>
      <c r="F347" s="9" t="s">
        <v>10</v>
      </c>
      <c r="G347" s="9" t="str">
        <f t="shared" si="11"/>
        <v>Stationery</v>
      </c>
      <c r="H347" s="25">
        <v>5.67</v>
      </c>
      <c r="I347" s="6">
        <v>10</v>
      </c>
      <c r="J347" s="25">
        <v>3.97</v>
      </c>
      <c r="K347" s="25">
        <v>60.67</v>
      </c>
      <c r="L347" s="9">
        <v>0</v>
      </c>
      <c r="M347" s="39" t="str">
        <f t="shared" si="10"/>
        <v>Normal Transaction</v>
      </c>
    </row>
    <row r="348" spans="1:13" x14ac:dyDescent="0.35">
      <c r="A348" s="27">
        <v>347</v>
      </c>
      <c r="B348" s="2" t="s">
        <v>6</v>
      </c>
      <c r="C348" s="2" t="s">
        <v>7</v>
      </c>
      <c r="D348" s="2" t="s">
        <v>2</v>
      </c>
      <c r="E348" s="2" t="s">
        <v>9</v>
      </c>
      <c r="F348" s="9" t="s">
        <v>10</v>
      </c>
      <c r="G348" s="9" t="str">
        <f t="shared" si="11"/>
        <v>Stationery</v>
      </c>
      <c r="H348" s="25">
        <v>18.579999999999998</v>
      </c>
      <c r="I348" s="6">
        <v>9</v>
      </c>
      <c r="J348" s="25">
        <v>11.71</v>
      </c>
      <c r="K348" s="25">
        <v>178.93</v>
      </c>
      <c r="L348" s="9">
        <v>17</v>
      </c>
      <c r="M348" s="39" t="str">
        <f t="shared" si="10"/>
        <v>Normal Transaction</v>
      </c>
    </row>
    <row r="349" spans="1:13" x14ac:dyDescent="0.35">
      <c r="A349" s="27">
        <v>348</v>
      </c>
      <c r="B349" s="2" t="s">
        <v>31</v>
      </c>
      <c r="C349" s="2" t="s">
        <v>1</v>
      </c>
      <c r="D349" s="2" t="s">
        <v>8</v>
      </c>
      <c r="E349" s="2" t="s">
        <v>9</v>
      </c>
      <c r="F349" s="9" t="s">
        <v>4</v>
      </c>
      <c r="G349" s="9" t="str">
        <f t="shared" si="11"/>
        <v>Personal Care</v>
      </c>
      <c r="H349" s="25">
        <v>20.85</v>
      </c>
      <c r="I349" s="6">
        <v>7</v>
      </c>
      <c r="J349" s="25">
        <v>10.220000000000001</v>
      </c>
      <c r="K349" s="25">
        <v>156.16999999999999</v>
      </c>
      <c r="L349" s="9">
        <v>0</v>
      </c>
      <c r="M349" s="39" t="str">
        <f t="shared" si="10"/>
        <v>Normal Transaction</v>
      </c>
    </row>
    <row r="350" spans="1:13" x14ac:dyDescent="0.35">
      <c r="A350" s="27">
        <v>349</v>
      </c>
      <c r="B350" s="2" t="s">
        <v>0</v>
      </c>
      <c r="C350" s="2" t="s">
        <v>14</v>
      </c>
      <c r="D350" s="2" t="s">
        <v>2</v>
      </c>
      <c r="E350" s="2" t="s">
        <v>3</v>
      </c>
      <c r="F350" s="9" t="s">
        <v>12</v>
      </c>
      <c r="G350" s="9" t="str">
        <f t="shared" si="11"/>
        <v>Fruits</v>
      </c>
      <c r="H350" s="25">
        <v>4.53</v>
      </c>
      <c r="I350" s="6">
        <v>11</v>
      </c>
      <c r="J350" s="25">
        <v>3.49</v>
      </c>
      <c r="K350" s="25">
        <v>53.32</v>
      </c>
      <c r="L350" s="9">
        <v>5</v>
      </c>
      <c r="M350" s="39" t="str">
        <f t="shared" si="10"/>
        <v>Normal Transaction</v>
      </c>
    </row>
    <row r="351" spans="1:13" x14ac:dyDescent="0.35">
      <c r="A351" s="27">
        <v>350</v>
      </c>
      <c r="B351" s="2" t="s">
        <v>31</v>
      </c>
      <c r="C351" s="2" t="s">
        <v>1</v>
      </c>
      <c r="D351" s="2" t="s">
        <v>2</v>
      </c>
      <c r="E351" s="2" t="s">
        <v>3</v>
      </c>
      <c r="F351" s="9" t="s">
        <v>17</v>
      </c>
      <c r="G351" s="9" t="str">
        <f t="shared" si="11"/>
        <v>Beverages</v>
      </c>
      <c r="H351" s="25">
        <v>6.89</v>
      </c>
      <c r="I351" s="6">
        <v>8</v>
      </c>
      <c r="J351" s="25">
        <v>3.86</v>
      </c>
      <c r="K351" s="25">
        <v>58.98</v>
      </c>
      <c r="L351" s="9">
        <v>5</v>
      </c>
      <c r="M351" s="39" t="str">
        <f t="shared" si="10"/>
        <v>Normal Transaction</v>
      </c>
    </row>
    <row r="352" spans="1:13" x14ac:dyDescent="0.35">
      <c r="A352" s="27">
        <v>351</v>
      </c>
      <c r="B352" s="2" t="s">
        <v>6</v>
      </c>
      <c r="C352" s="2" t="s">
        <v>7</v>
      </c>
      <c r="D352" s="2" t="s">
        <v>2</v>
      </c>
      <c r="E352" s="2" t="s">
        <v>3</v>
      </c>
      <c r="F352" s="9" t="s">
        <v>4</v>
      </c>
      <c r="G352" s="9" t="str">
        <f t="shared" si="11"/>
        <v>Personal Care</v>
      </c>
      <c r="H352" s="25">
        <v>7</v>
      </c>
      <c r="I352" s="6">
        <v>16</v>
      </c>
      <c r="J352" s="25">
        <v>7.84</v>
      </c>
      <c r="K352" s="25">
        <v>119.84</v>
      </c>
      <c r="L352" s="9">
        <v>11</v>
      </c>
      <c r="M352" s="39" t="str">
        <f t="shared" si="10"/>
        <v>Normal Transaction</v>
      </c>
    </row>
    <row r="353" spans="1:13" x14ac:dyDescent="0.35">
      <c r="A353" s="27">
        <v>352</v>
      </c>
      <c r="B353" s="2" t="s">
        <v>6</v>
      </c>
      <c r="C353" s="2" t="s">
        <v>7</v>
      </c>
      <c r="D353" s="2" t="s">
        <v>2</v>
      </c>
      <c r="E353" s="2" t="s">
        <v>9</v>
      </c>
      <c r="F353" s="9" t="s">
        <v>17</v>
      </c>
      <c r="G353" s="9" t="str">
        <f t="shared" si="11"/>
        <v>Beverages</v>
      </c>
      <c r="H353" s="25">
        <v>5.61</v>
      </c>
      <c r="I353" s="6">
        <v>16</v>
      </c>
      <c r="J353" s="25">
        <v>6.28</v>
      </c>
      <c r="K353" s="25">
        <v>96.04</v>
      </c>
      <c r="L353" s="9">
        <v>9</v>
      </c>
      <c r="M353" s="39" t="str">
        <f t="shared" si="10"/>
        <v>Normal Transaction</v>
      </c>
    </row>
    <row r="354" spans="1:13" x14ac:dyDescent="0.35">
      <c r="A354" s="27">
        <v>353</v>
      </c>
      <c r="B354" s="2" t="s">
        <v>6</v>
      </c>
      <c r="C354" s="2" t="s">
        <v>7</v>
      </c>
      <c r="D354" s="2" t="s">
        <v>2</v>
      </c>
      <c r="E354" s="2" t="s">
        <v>9</v>
      </c>
      <c r="F354" s="9" t="s">
        <v>4</v>
      </c>
      <c r="G354" s="9" t="str">
        <f t="shared" si="11"/>
        <v>Personal Care</v>
      </c>
      <c r="H354" s="25">
        <v>7.64</v>
      </c>
      <c r="I354" s="6">
        <v>11</v>
      </c>
      <c r="J354" s="25">
        <v>5.88</v>
      </c>
      <c r="K354" s="25">
        <v>89.92</v>
      </c>
      <c r="L354" s="9">
        <v>8</v>
      </c>
      <c r="M354" s="39" t="str">
        <f t="shared" si="10"/>
        <v>Normal Transaction</v>
      </c>
    </row>
    <row r="355" spans="1:13" x14ac:dyDescent="0.35">
      <c r="A355" s="27">
        <v>354</v>
      </c>
      <c r="B355" s="2" t="s">
        <v>6</v>
      </c>
      <c r="C355" s="2" t="s">
        <v>7</v>
      </c>
      <c r="D355" s="2" t="s">
        <v>2</v>
      </c>
      <c r="E355" s="2" t="s">
        <v>3</v>
      </c>
      <c r="F355" s="9" t="s">
        <v>17</v>
      </c>
      <c r="G355" s="9" t="str">
        <f t="shared" si="11"/>
        <v>Beverages</v>
      </c>
      <c r="H355" s="25">
        <v>17.399999999999999</v>
      </c>
      <c r="I355" s="6">
        <v>9</v>
      </c>
      <c r="J355" s="25">
        <v>10.96</v>
      </c>
      <c r="K355" s="25">
        <v>167.56</v>
      </c>
      <c r="L355" s="9">
        <v>16</v>
      </c>
      <c r="M355" s="39" t="str">
        <f t="shared" si="10"/>
        <v>Normal Transaction</v>
      </c>
    </row>
    <row r="356" spans="1:13" x14ac:dyDescent="0.35">
      <c r="A356" s="27">
        <v>355</v>
      </c>
      <c r="B356" s="2" t="s">
        <v>0</v>
      </c>
      <c r="C356" s="2" t="s">
        <v>14</v>
      </c>
      <c r="D356" s="2" t="s">
        <v>8</v>
      </c>
      <c r="E356" s="2" t="s">
        <v>9</v>
      </c>
      <c r="F356" s="9" t="s">
        <v>17</v>
      </c>
      <c r="G356" s="9" t="str">
        <f t="shared" si="11"/>
        <v>Beverages</v>
      </c>
      <c r="H356" s="25">
        <v>3.76</v>
      </c>
      <c r="I356" s="6">
        <v>11</v>
      </c>
      <c r="J356" s="25">
        <v>2.9</v>
      </c>
      <c r="K356" s="25">
        <v>44.26</v>
      </c>
      <c r="L356" s="9">
        <v>0</v>
      </c>
      <c r="M356" s="39" t="str">
        <f t="shared" si="10"/>
        <v>Normal Transaction</v>
      </c>
    </row>
    <row r="357" spans="1:13" x14ac:dyDescent="0.35">
      <c r="A357" s="27">
        <v>356</v>
      </c>
      <c r="B357" s="2" t="s">
        <v>0</v>
      </c>
      <c r="C357" s="2" t="s">
        <v>14</v>
      </c>
      <c r="D357" s="2" t="s">
        <v>8</v>
      </c>
      <c r="E357" s="2" t="s">
        <v>9</v>
      </c>
      <c r="F357" s="9" t="s">
        <v>17</v>
      </c>
      <c r="G357" s="9" t="str">
        <f t="shared" si="11"/>
        <v>Beverages</v>
      </c>
      <c r="H357" s="25">
        <v>3.89</v>
      </c>
      <c r="I357" s="6">
        <v>2</v>
      </c>
      <c r="J357" s="25">
        <v>0.54</v>
      </c>
      <c r="K357" s="25">
        <v>8.32</v>
      </c>
      <c r="L357" s="9">
        <v>0</v>
      </c>
      <c r="M357" s="39" t="str">
        <f t="shared" si="10"/>
        <v>Normal Transaction</v>
      </c>
    </row>
    <row r="358" spans="1:13" x14ac:dyDescent="0.35">
      <c r="A358" s="27">
        <v>357</v>
      </c>
      <c r="B358" s="2" t="s">
        <v>6</v>
      </c>
      <c r="C358" s="2" t="s">
        <v>7</v>
      </c>
      <c r="D358" s="2" t="s">
        <v>8</v>
      </c>
      <c r="E358" s="2" t="s">
        <v>3</v>
      </c>
      <c r="F358" s="9" t="s">
        <v>15</v>
      </c>
      <c r="G358" s="9" t="str">
        <f t="shared" si="11"/>
        <v>Household</v>
      </c>
      <c r="H358" s="25">
        <v>6.2</v>
      </c>
      <c r="I358" s="6">
        <v>15</v>
      </c>
      <c r="J358" s="25">
        <v>6.51</v>
      </c>
      <c r="K358" s="25">
        <v>99.51</v>
      </c>
      <c r="L358" s="9">
        <v>0</v>
      </c>
      <c r="M358" s="39" t="str">
        <f t="shared" si="10"/>
        <v>Normal Transaction</v>
      </c>
    </row>
    <row r="359" spans="1:13" x14ac:dyDescent="0.35">
      <c r="A359" s="27">
        <v>358</v>
      </c>
      <c r="B359" s="2" t="s">
        <v>31</v>
      </c>
      <c r="C359" s="2" t="s">
        <v>1</v>
      </c>
      <c r="D359" s="2" t="s">
        <v>8</v>
      </c>
      <c r="E359" s="2" t="s">
        <v>3</v>
      </c>
      <c r="F359" s="9" t="s">
        <v>10</v>
      </c>
      <c r="G359" s="9" t="str">
        <f t="shared" si="11"/>
        <v>Stationery</v>
      </c>
      <c r="H359" s="25">
        <v>10.36</v>
      </c>
      <c r="I359" s="6">
        <v>18</v>
      </c>
      <c r="J359" s="25">
        <v>13.05</v>
      </c>
      <c r="K359" s="25">
        <v>199.53</v>
      </c>
      <c r="L359" s="9">
        <v>0</v>
      </c>
      <c r="M359" s="39" t="str">
        <f t="shared" si="10"/>
        <v>Normal Transaction</v>
      </c>
    </row>
    <row r="360" spans="1:13" x14ac:dyDescent="0.35">
      <c r="A360" s="27">
        <v>359</v>
      </c>
      <c r="B360" s="2" t="s">
        <v>6</v>
      </c>
      <c r="C360" s="2" t="s">
        <v>7</v>
      </c>
      <c r="D360" s="2" t="s">
        <v>8</v>
      </c>
      <c r="E360" s="2" t="s">
        <v>9</v>
      </c>
      <c r="F360" s="9" t="s">
        <v>10</v>
      </c>
      <c r="G360" s="9" t="str">
        <f t="shared" si="11"/>
        <v>Stationery</v>
      </c>
      <c r="H360" s="25">
        <v>2.58</v>
      </c>
      <c r="I360" s="6">
        <v>19</v>
      </c>
      <c r="J360" s="25">
        <v>3.43</v>
      </c>
      <c r="K360" s="25">
        <v>52.45</v>
      </c>
      <c r="L360" s="9">
        <v>0</v>
      </c>
      <c r="M360" s="39" t="str">
        <f t="shared" si="10"/>
        <v>Normal Transaction</v>
      </c>
    </row>
    <row r="361" spans="1:13" x14ac:dyDescent="0.35">
      <c r="A361" s="27">
        <v>360</v>
      </c>
      <c r="B361" s="2" t="s">
        <v>6</v>
      </c>
      <c r="C361" s="2" t="s">
        <v>7</v>
      </c>
      <c r="D361" s="2" t="s">
        <v>8</v>
      </c>
      <c r="E361" s="2" t="s">
        <v>9</v>
      </c>
      <c r="F361" s="9" t="s">
        <v>17</v>
      </c>
      <c r="G361" s="9" t="str">
        <f t="shared" si="11"/>
        <v>Beverages</v>
      </c>
      <c r="H361" s="25">
        <v>2.12</v>
      </c>
      <c r="I361" s="6">
        <v>16</v>
      </c>
      <c r="J361" s="25">
        <v>2.37</v>
      </c>
      <c r="K361" s="25">
        <v>36.29</v>
      </c>
      <c r="L361" s="9">
        <v>0</v>
      </c>
      <c r="M361" s="39" t="str">
        <f t="shared" si="10"/>
        <v>Normal Transaction</v>
      </c>
    </row>
    <row r="362" spans="1:13" x14ac:dyDescent="0.35">
      <c r="A362" s="27">
        <v>361</v>
      </c>
      <c r="B362" s="2" t="s">
        <v>0</v>
      </c>
      <c r="C362" s="2" t="s">
        <v>14</v>
      </c>
      <c r="D362" s="2" t="s">
        <v>8</v>
      </c>
      <c r="E362" s="2" t="s">
        <v>9</v>
      </c>
      <c r="F362" s="9" t="s">
        <v>4</v>
      </c>
      <c r="G362" s="9" t="str">
        <f t="shared" si="11"/>
        <v>Personal Care</v>
      </c>
      <c r="H362" s="25">
        <v>19.95</v>
      </c>
      <c r="I362" s="6">
        <v>2</v>
      </c>
      <c r="J362" s="25">
        <v>2.79</v>
      </c>
      <c r="K362" s="25">
        <v>42.69</v>
      </c>
      <c r="L362" s="9">
        <v>0</v>
      </c>
      <c r="M362" s="39" t="str">
        <f t="shared" si="10"/>
        <v>Normal Transaction</v>
      </c>
    </row>
    <row r="363" spans="1:13" x14ac:dyDescent="0.35">
      <c r="A363" s="27">
        <v>362</v>
      </c>
      <c r="B363" s="2" t="s">
        <v>0</v>
      </c>
      <c r="C363" s="2" t="s">
        <v>14</v>
      </c>
      <c r="D363" s="2" t="s">
        <v>8</v>
      </c>
      <c r="E363" s="2" t="s">
        <v>9</v>
      </c>
      <c r="F363" s="9" t="s">
        <v>10</v>
      </c>
      <c r="G363" s="9" t="str">
        <f t="shared" si="11"/>
        <v>Stationery</v>
      </c>
      <c r="H363" s="25">
        <v>19.12</v>
      </c>
      <c r="I363" s="6">
        <v>17</v>
      </c>
      <c r="J363" s="25">
        <v>22.75</v>
      </c>
      <c r="K363" s="25">
        <v>347.79</v>
      </c>
      <c r="L363" s="9">
        <v>0</v>
      </c>
      <c r="M363" s="39" t="str">
        <f t="shared" si="10"/>
        <v>Normal Transaction</v>
      </c>
    </row>
    <row r="364" spans="1:13" x14ac:dyDescent="0.35">
      <c r="A364" s="27">
        <v>363</v>
      </c>
      <c r="B364" s="2" t="s">
        <v>31</v>
      </c>
      <c r="C364" s="2" t="s">
        <v>1</v>
      </c>
      <c r="D364" s="2" t="s">
        <v>8</v>
      </c>
      <c r="E364" s="2" t="s">
        <v>9</v>
      </c>
      <c r="F364" s="9" t="s">
        <v>4</v>
      </c>
      <c r="G364" s="9" t="str">
        <f t="shared" si="11"/>
        <v>Personal Care</v>
      </c>
      <c r="H364" s="25">
        <v>18.71</v>
      </c>
      <c r="I364" s="6">
        <v>11</v>
      </c>
      <c r="J364" s="25">
        <v>14.41</v>
      </c>
      <c r="K364" s="25">
        <v>220.22</v>
      </c>
      <c r="L364" s="9">
        <v>0</v>
      </c>
      <c r="M364" s="39" t="str">
        <f t="shared" si="10"/>
        <v>Normal Transaction</v>
      </c>
    </row>
    <row r="365" spans="1:13" x14ac:dyDescent="0.35">
      <c r="A365" s="27">
        <v>364</v>
      </c>
      <c r="B365" s="2" t="s">
        <v>31</v>
      </c>
      <c r="C365" s="2" t="s">
        <v>1</v>
      </c>
      <c r="D365" s="2" t="s">
        <v>2</v>
      </c>
      <c r="E365" s="2" t="s">
        <v>3</v>
      </c>
      <c r="F365" s="9" t="s">
        <v>4</v>
      </c>
      <c r="G365" s="9" t="str">
        <f t="shared" si="11"/>
        <v>Personal Care</v>
      </c>
      <c r="H365" s="25">
        <v>15.13</v>
      </c>
      <c r="I365" s="6">
        <v>20</v>
      </c>
      <c r="J365" s="25">
        <v>21.18</v>
      </c>
      <c r="K365" s="25">
        <v>323.77999999999997</v>
      </c>
      <c r="L365" s="9">
        <v>32</v>
      </c>
      <c r="M365" s="39" t="str">
        <f t="shared" si="10"/>
        <v>Normal Transaction</v>
      </c>
    </row>
    <row r="366" spans="1:13" x14ac:dyDescent="0.35">
      <c r="A366" s="27">
        <v>365</v>
      </c>
      <c r="B366" s="2" t="s">
        <v>6</v>
      </c>
      <c r="C366" s="2" t="s">
        <v>7</v>
      </c>
      <c r="D366" s="2" t="s">
        <v>8</v>
      </c>
      <c r="E366" s="2" t="s">
        <v>3</v>
      </c>
      <c r="F366" s="9" t="s">
        <v>17</v>
      </c>
      <c r="G366" s="9" t="str">
        <f t="shared" si="11"/>
        <v>Beverages</v>
      </c>
      <c r="H366" s="25">
        <v>19.440000000000001</v>
      </c>
      <c r="I366" s="6">
        <v>19</v>
      </c>
      <c r="J366" s="25">
        <v>25.86</v>
      </c>
      <c r="K366" s="25">
        <v>395.22</v>
      </c>
      <c r="L366" s="9">
        <v>0</v>
      </c>
      <c r="M366" s="39" t="str">
        <f t="shared" si="10"/>
        <v>Outlier (Extreme Spend)</v>
      </c>
    </row>
    <row r="367" spans="1:13" x14ac:dyDescent="0.35">
      <c r="A367" s="27">
        <v>366</v>
      </c>
      <c r="B367" s="2" t="s">
        <v>6</v>
      </c>
      <c r="C367" s="2" t="s">
        <v>7</v>
      </c>
      <c r="D367" s="2" t="s">
        <v>2</v>
      </c>
      <c r="E367" s="2" t="s">
        <v>3</v>
      </c>
      <c r="F367" s="9" t="s">
        <v>17</v>
      </c>
      <c r="G367" s="9" t="str">
        <f t="shared" si="11"/>
        <v>Beverages</v>
      </c>
      <c r="H367" s="25">
        <v>19.899999999999999</v>
      </c>
      <c r="I367" s="6">
        <v>8</v>
      </c>
      <c r="J367" s="25">
        <v>11.14</v>
      </c>
      <c r="K367" s="25">
        <v>170.34</v>
      </c>
      <c r="L367" s="9">
        <v>17</v>
      </c>
      <c r="M367" s="39" t="str">
        <f t="shared" si="10"/>
        <v>Normal Transaction</v>
      </c>
    </row>
    <row r="368" spans="1:13" x14ac:dyDescent="0.35">
      <c r="A368" s="27">
        <v>367</v>
      </c>
      <c r="B368" s="2" t="s">
        <v>6</v>
      </c>
      <c r="C368" s="2" t="s">
        <v>7</v>
      </c>
      <c r="D368" s="2" t="s">
        <v>2</v>
      </c>
      <c r="E368" s="2" t="s">
        <v>9</v>
      </c>
      <c r="F368" s="9" t="s">
        <v>17</v>
      </c>
      <c r="G368" s="9" t="str">
        <f t="shared" si="11"/>
        <v>Beverages</v>
      </c>
      <c r="H368" s="25">
        <v>12.2</v>
      </c>
      <c r="I368" s="6">
        <v>6</v>
      </c>
      <c r="J368" s="25">
        <v>5.12</v>
      </c>
      <c r="K368" s="25">
        <v>78.319999999999993</v>
      </c>
      <c r="L368" s="9">
        <v>7</v>
      </c>
      <c r="M368" s="39" t="str">
        <f t="shared" si="10"/>
        <v>Normal Transaction</v>
      </c>
    </row>
    <row r="369" spans="1:13" x14ac:dyDescent="0.35">
      <c r="A369" s="27">
        <v>368</v>
      </c>
      <c r="B369" s="2" t="s">
        <v>31</v>
      </c>
      <c r="C369" s="2" t="s">
        <v>1</v>
      </c>
      <c r="D369" s="2" t="s">
        <v>8</v>
      </c>
      <c r="E369" s="2" t="s">
        <v>3</v>
      </c>
      <c r="F369" s="9" t="s">
        <v>4</v>
      </c>
      <c r="G369" s="9" t="str">
        <f t="shared" si="11"/>
        <v>Personal Care</v>
      </c>
      <c r="H369" s="25">
        <v>15.99</v>
      </c>
      <c r="I369" s="6">
        <v>3</v>
      </c>
      <c r="J369" s="25">
        <v>3.36</v>
      </c>
      <c r="K369" s="25">
        <v>51.33</v>
      </c>
      <c r="L369" s="9">
        <v>0</v>
      </c>
      <c r="M369" s="39" t="str">
        <f t="shared" si="10"/>
        <v>Normal Transaction</v>
      </c>
    </row>
    <row r="370" spans="1:13" x14ac:dyDescent="0.35">
      <c r="A370" s="27">
        <v>369</v>
      </c>
      <c r="B370" s="2" t="s">
        <v>31</v>
      </c>
      <c r="C370" s="2" t="s">
        <v>1</v>
      </c>
      <c r="D370" s="2" t="s">
        <v>2</v>
      </c>
      <c r="E370" s="2" t="s">
        <v>9</v>
      </c>
      <c r="F370" s="9" t="s">
        <v>15</v>
      </c>
      <c r="G370" s="9" t="str">
        <f t="shared" si="11"/>
        <v>Household</v>
      </c>
      <c r="H370" s="25">
        <v>12.78</v>
      </c>
      <c r="I370" s="6">
        <v>8</v>
      </c>
      <c r="J370" s="25">
        <v>7.16</v>
      </c>
      <c r="K370" s="25">
        <v>109.4</v>
      </c>
      <c r="L370" s="9">
        <v>10</v>
      </c>
      <c r="M370" s="39" t="str">
        <f t="shared" si="10"/>
        <v>Normal Transaction</v>
      </c>
    </row>
    <row r="371" spans="1:13" x14ac:dyDescent="0.35">
      <c r="A371" s="27">
        <v>370</v>
      </c>
      <c r="B371" s="2" t="s">
        <v>0</v>
      </c>
      <c r="C371" s="2" t="s">
        <v>14</v>
      </c>
      <c r="D371" s="2" t="s">
        <v>2</v>
      </c>
      <c r="E371" s="2" t="s">
        <v>3</v>
      </c>
      <c r="F371" s="9" t="s">
        <v>12</v>
      </c>
      <c r="G371" s="9" t="str">
        <f t="shared" si="11"/>
        <v>Fruits</v>
      </c>
      <c r="H371" s="25">
        <v>1.1299999999999999</v>
      </c>
      <c r="I371" s="6">
        <v>1</v>
      </c>
      <c r="J371" s="25">
        <v>0.08</v>
      </c>
      <c r="K371" s="25">
        <v>1.21</v>
      </c>
      <c r="L371" s="9">
        <v>0</v>
      </c>
      <c r="M371" s="39" t="str">
        <f t="shared" si="10"/>
        <v>Normal Transaction</v>
      </c>
    </row>
    <row r="372" spans="1:13" x14ac:dyDescent="0.35">
      <c r="A372" s="27">
        <v>371</v>
      </c>
      <c r="B372" s="2" t="s">
        <v>6</v>
      </c>
      <c r="C372" s="2" t="s">
        <v>7</v>
      </c>
      <c r="D372" s="2" t="s">
        <v>2</v>
      </c>
      <c r="E372" s="2" t="s">
        <v>9</v>
      </c>
      <c r="F372" s="9" t="s">
        <v>12</v>
      </c>
      <c r="G372" s="9" t="str">
        <f t="shared" si="11"/>
        <v>Fruits</v>
      </c>
      <c r="H372" s="25">
        <v>4.6100000000000003</v>
      </c>
      <c r="I372" s="6">
        <v>10</v>
      </c>
      <c r="J372" s="25">
        <v>3.23</v>
      </c>
      <c r="K372" s="25">
        <v>49.33</v>
      </c>
      <c r="L372" s="9">
        <v>4</v>
      </c>
      <c r="M372" s="39" t="str">
        <f t="shared" si="10"/>
        <v>Normal Transaction</v>
      </c>
    </row>
    <row r="373" spans="1:13" x14ac:dyDescent="0.35">
      <c r="A373" s="27">
        <v>372</v>
      </c>
      <c r="B373" s="2" t="s">
        <v>31</v>
      </c>
      <c r="C373" s="2" t="s">
        <v>1</v>
      </c>
      <c r="D373" s="2" t="s">
        <v>2</v>
      </c>
      <c r="E373" s="2" t="s">
        <v>9</v>
      </c>
      <c r="F373" s="9" t="s">
        <v>17</v>
      </c>
      <c r="G373" s="9" t="str">
        <f t="shared" si="11"/>
        <v>Beverages</v>
      </c>
      <c r="H373" s="25">
        <v>20</v>
      </c>
      <c r="I373" s="6">
        <v>2</v>
      </c>
      <c r="J373" s="25">
        <v>2.8</v>
      </c>
      <c r="K373" s="25">
        <v>42.8</v>
      </c>
      <c r="L373" s="9">
        <v>4</v>
      </c>
      <c r="M373" s="39" t="str">
        <f t="shared" si="10"/>
        <v>Normal Transaction</v>
      </c>
    </row>
    <row r="374" spans="1:13" x14ac:dyDescent="0.35">
      <c r="A374" s="27">
        <v>373</v>
      </c>
      <c r="B374" s="2" t="s">
        <v>31</v>
      </c>
      <c r="C374" s="2" t="s">
        <v>1</v>
      </c>
      <c r="D374" s="2" t="s">
        <v>2</v>
      </c>
      <c r="E374" s="2" t="s">
        <v>3</v>
      </c>
      <c r="F374" s="9" t="s">
        <v>12</v>
      </c>
      <c r="G374" s="9" t="str">
        <f t="shared" si="11"/>
        <v>Fruits</v>
      </c>
      <c r="H374" s="25">
        <v>13.7</v>
      </c>
      <c r="I374" s="6">
        <v>14</v>
      </c>
      <c r="J374" s="25">
        <v>13.43</v>
      </c>
      <c r="K374" s="25">
        <v>205.23</v>
      </c>
      <c r="L374" s="9">
        <v>20</v>
      </c>
      <c r="M374" s="39" t="str">
        <f t="shared" si="10"/>
        <v>Normal Transaction</v>
      </c>
    </row>
    <row r="375" spans="1:13" x14ac:dyDescent="0.35">
      <c r="A375" s="27">
        <v>374</v>
      </c>
      <c r="B375" s="2" t="s">
        <v>0</v>
      </c>
      <c r="C375" s="2" t="s">
        <v>14</v>
      </c>
      <c r="D375" s="2" t="s">
        <v>8</v>
      </c>
      <c r="E375" s="2" t="s">
        <v>9</v>
      </c>
      <c r="F375" s="9" t="s">
        <v>4</v>
      </c>
      <c r="G375" s="9" t="str">
        <f t="shared" si="11"/>
        <v>Personal Care</v>
      </c>
      <c r="H375" s="25">
        <v>7.58</v>
      </c>
      <c r="I375" s="6">
        <v>20</v>
      </c>
      <c r="J375" s="25">
        <v>10.61</v>
      </c>
      <c r="K375" s="25">
        <v>162.21</v>
      </c>
      <c r="L375" s="9">
        <v>0</v>
      </c>
      <c r="M375" s="39" t="str">
        <f t="shared" si="10"/>
        <v>Normal Transaction</v>
      </c>
    </row>
    <row r="376" spans="1:13" x14ac:dyDescent="0.35">
      <c r="A376" s="27">
        <v>375</v>
      </c>
      <c r="B376" s="2" t="s">
        <v>6</v>
      </c>
      <c r="C376" s="2" t="s">
        <v>7</v>
      </c>
      <c r="D376" s="2" t="s">
        <v>2</v>
      </c>
      <c r="E376" s="2" t="s">
        <v>9</v>
      </c>
      <c r="F376" s="9" t="s">
        <v>10</v>
      </c>
      <c r="G376" s="9" t="str">
        <f t="shared" si="11"/>
        <v>Stationery</v>
      </c>
      <c r="H376" s="25">
        <v>1.66</v>
      </c>
      <c r="I376" s="6">
        <v>1</v>
      </c>
      <c r="J376" s="25">
        <v>0.12</v>
      </c>
      <c r="K376" s="25">
        <v>1.78</v>
      </c>
      <c r="L376" s="9">
        <v>0</v>
      </c>
      <c r="M376" s="39" t="str">
        <f t="shared" si="10"/>
        <v>Normal Transaction</v>
      </c>
    </row>
    <row r="377" spans="1:13" x14ac:dyDescent="0.35">
      <c r="A377" s="27">
        <v>376</v>
      </c>
      <c r="B377" s="2" t="s">
        <v>6</v>
      </c>
      <c r="C377" s="2" t="s">
        <v>7</v>
      </c>
      <c r="D377" s="2" t="s">
        <v>8</v>
      </c>
      <c r="E377" s="2" t="s">
        <v>9</v>
      </c>
      <c r="F377" s="9" t="s">
        <v>10</v>
      </c>
      <c r="G377" s="9" t="str">
        <f t="shared" si="11"/>
        <v>Stationery</v>
      </c>
      <c r="H377" s="25">
        <v>5.27</v>
      </c>
      <c r="I377" s="6">
        <v>6</v>
      </c>
      <c r="J377" s="25">
        <v>2.21</v>
      </c>
      <c r="K377" s="25">
        <v>33.83</v>
      </c>
      <c r="L377" s="9">
        <v>0</v>
      </c>
      <c r="M377" s="39" t="str">
        <f t="shared" si="10"/>
        <v>Normal Transaction</v>
      </c>
    </row>
    <row r="378" spans="1:13" x14ac:dyDescent="0.35">
      <c r="A378" s="27">
        <v>377</v>
      </c>
      <c r="B378" s="2" t="s">
        <v>31</v>
      </c>
      <c r="C378" s="2" t="s">
        <v>1</v>
      </c>
      <c r="D378" s="2" t="s">
        <v>8</v>
      </c>
      <c r="E378" s="2" t="s">
        <v>3</v>
      </c>
      <c r="F378" s="9" t="s">
        <v>10</v>
      </c>
      <c r="G378" s="9" t="str">
        <f t="shared" si="11"/>
        <v>Stationery</v>
      </c>
      <c r="H378" s="25">
        <v>15.04</v>
      </c>
      <c r="I378" s="6">
        <v>11</v>
      </c>
      <c r="J378" s="25">
        <v>11.58</v>
      </c>
      <c r="K378" s="25">
        <v>177.02</v>
      </c>
      <c r="L378" s="9">
        <v>0</v>
      </c>
      <c r="M378" s="39" t="str">
        <f t="shared" si="10"/>
        <v>Normal Transaction</v>
      </c>
    </row>
    <row r="379" spans="1:13" x14ac:dyDescent="0.35">
      <c r="A379" s="27">
        <v>378</v>
      </c>
      <c r="B379" s="2" t="s">
        <v>31</v>
      </c>
      <c r="C379" s="2" t="s">
        <v>1</v>
      </c>
      <c r="D379" s="2" t="s">
        <v>8</v>
      </c>
      <c r="E379" s="2" t="s">
        <v>9</v>
      </c>
      <c r="F379" s="9" t="s">
        <v>10</v>
      </c>
      <c r="G379" s="9" t="str">
        <f t="shared" si="11"/>
        <v>Stationery</v>
      </c>
      <c r="H379" s="25">
        <v>2.61</v>
      </c>
      <c r="I379" s="6">
        <v>12</v>
      </c>
      <c r="J379" s="25">
        <v>2.19</v>
      </c>
      <c r="K379" s="25">
        <v>33.51</v>
      </c>
      <c r="L379" s="9">
        <v>0</v>
      </c>
      <c r="M379" s="39" t="str">
        <f t="shared" si="10"/>
        <v>Normal Transaction</v>
      </c>
    </row>
    <row r="380" spans="1:13" x14ac:dyDescent="0.35">
      <c r="A380" s="27">
        <v>379</v>
      </c>
      <c r="B380" s="2" t="s">
        <v>31</v>
      </c>
      <c r="C380" s="2" t="s">
        <v>1</v>
      </c>
      <c r="D380" s="2" t="s">
        <v>8</v>
      </c>
      <c r="E380" s="2" t="s">
        <v>9</v>
      </c>
      <c r="F380" s="9" t="s">
        <v>17</v>
      </c>
      <c r="G380" s="9" t="str">
        <f t="shared" si="11"/>
        <v>Beverages</v>
      </c>
      <c r="H380" s="25">
        <v>11.3</v>
      </c>
      <c r="I380" s="6">
        <v>4</v>
      </c>
      <c r="J380" s="25">
        <v>3.16</v>
      </c>
      <c r="K380" s="25">
        <v>48.36</v>
      </c>
      <c r="L380" s="9">
        <v>0</v>
      </c>
      <c r="M380" s="39" t="str">
        <f t="shared" si="10"/>
        <v>Normal Transaction</v>
      </c>
    </row>
    <row r="381" spans="1:13" x14ac:dyDescent="0.35">
      <c r="A381" s="27">
        <v>380</v>
      </c>
      <c r="B381" s="2" t="s">
        <v>6</v>
      </c>
      <c r="C381" s="2" t="s">
        <v>7</v>
      </c>
      <c r="D381" s="2" t="s">
        <v>8</v>
      </c>
      <c r="E381" s="2" t="s">
        <v>3</v>
      </c>
      <c r="F381" s="9" t="s">
        <v>15</v>
      </c>
      <c r="G381" s="9" t="str">
        <f t="shared" si="11"/>
        <v>Household</v>
      </c>
      <c r="H381" s="25">
        <v>11.52</v>
      </c>
      <c r="I381" s="6">
        <v>2</v>
      </c>
      <c r="J381" s="25">
        <v>1.61</v>
      </c>
      <c r="K381" s="25">
        <v>24.65</v>
      </c>
      <c r="L381" s="9">
        <v>0</v>
      </c>
      <c r="M381" s="39" t="str">
        <f t="shared" si="10"/>
        <v>Normal Transaction</v>
      </c>
    </row>
    <row r="382" spans="1:13" x14ac:dyDescent="0.35">
      <c r="A382" s="27">
        <v>381</v>
      </c>
      <c r="B382" s="2" t="s">
        <v>0</v>
      </c>
      <c r="C382" s="2" t="s">
        <v>14</v>
      </c>
      <c r="D382" s="2" t="s">
        <v>2</v>
      </c>
      <c r="E382" s="2" t="s">
        <v>3</v>
      </c>
      <c r="F382" s="9" t="s">
        <v>4</v>
      </c>
      <c r="G382" s="9" t="str">
        <f t="shared" si="11"/>
        <v>Personal Care</v>
      </c>
      <c r="H382" s="25">
        <v>8.56</v>
      </c>
      <c r="I382" s="6">
        <v>17</v>
      </c>
      <c r="J382" s="25">
        <v>10.19</v>
      </c>
      <c r="K382" s="25">
        <v>155.71</v>
      </c>
      <c r="L382" s="9">
        <v>15</v>
      </c>
      <c r="M382" s="39" t="str">
        <f t="shared" si="10"/>
        <v>Normal Transaction</v>
      </c>
    </row>
    <row r="383" spans="1:13" x14ac:dyDescent="0.35">
      <c r="A383" s="27">
        <v>382</v>
      </c>
      <c r="B383" s="2" t="s">
        <v>31</v>
      </c>
      <c r="C383" s="2" t="s">
        <v>1</v>
      </c>
      <c r="D383" s="2" t="s">
        <v>2</v>
      </c>
      <c r="E383" s="2" t="s">
        <v>9</v>
      </c>
      <c r="F383" s="9" t="s">
        <v>15</v>
      </c>
      <c r="G383" s="9" t="str">
        <f t="shared" si="11"/>
        <v>Household</v>
      </c>
      <c r="H383" s="25">
        <v>2.11</v>
      </c>
      <c r="I383" s="6">
        <v>6</v>
      </c>
      <c r="J383" s="25">
        <v>0.89</v>
      </c>
      <c r="K383" s="25">
        <v>13.55</v>
      </c>
      <c r="L383" s="9">
        <v>1</v>
      </c>
      <c r="M383" s="39" t="str">
        <f t="shared" si="10"/>
        <v>Normal Transaction</v>
      </c>
    </row>
    <row r="384" spans="1:13" x14ac:dyDescent="0.35">
      <c r="A384" s="27">
        <v>383</v>
      </c>
      <c r="B384" s="2" t="s">
        <v>0</v>
      </c>
      <c r="C384" s="2" t="s">
        <v>14</v>
      </c>
      <c r="D384" s="2" t="s">
        <v>2</v>
      </c>
      <c r="E384" s="2" t="s">
        <v>9</v>
      </c>
      <c r="F384" s="9" t="s">
        <v>4</v>
      </c>
      <c r="G384" s="9" t="str">
        <f t="shared" si="11"/>
        <v>Personal Care</v>
      </c>
      <c r="H384" s="25">
        <v>15.48</v>
      </c>
      <c r="I384" s="6">
        <v>11</v>
      </c>
      <c r="J384" s="25">
        <v>11.92</v>
      </c>
      <c r="K384" s="25">
        <v>182.2</v>
      </c>
      <c r="L384" s="9">
        <v>18</v>
      </c>
      <c r="M384" s="39" t="str">
        <f t="shared" si="10"/>
        <v>Normal Transaction</v>
      </c>
    </row>
    <row r="385" spans="1:13" x14ac:dyDescent="0.35">
      <c r="A385" s="27">
        <v>384</v>
      </c>
      <c r="B385" s="2" t="s">
        <v>6</v>
      </c>
      <c r="C385" s="2" t="s">
        <v>7</v>
      </c>
      <c r="D385" s="2" t="s">
        <v>2</v>
      </c>
      <c r="E385" s="2" t="s">
        <v>3</v>
      </c>
      <c r="F385" s="9" t="s">
        <v>17</v>
      </c>
      <c r="G385" s="9" t="str">
        <f t="shared" si="11"/>
        <v>Beverages</v>
      </c>
      <c r="H385" s="25">
        <v>3.25</v>
      </c>
      <c r="I385" s="6">
        <v>20</v>
      </c>
      <c r="J385" s="25">
        <v>4.55</v>
      </c>
      <c r="K385" s="25">
        <v>69.55</v>
      </c>
      <c r="L385" s="9">
        <v>6</v>
      </c>
      <c r="M385" s="39" t="str">
        <f t="shared" si="10"/>
        <v>Normal Transaction</v>
      </c>
    </row>
    <row r="386" spans="1:13" x14ac:dyDescent="0.35">
      <c r="A386" s="27">
        <v>385</v>
      </c>
      <c r="B386" s="2" t="s">
        <v>31</v>
      </c>
      <c r="C386" s="2" t="s">
        <v>1</v>
      </c>
      <c r="D386" s="2" t="s">
        <v>2</v>
      </c>
      <c r="E386" s="2" t="s">
        <v>3</v>
      </c>
      <c r="F386" s="9" t="s">
        <v>10</v>
      </c>
      <c r="G386" s="9" t="str">
        <f t="shared" si="11"/>
        <v>Stationery</v>
      </c>
      <c r="H386" s="25">
        <v>1.27</v>
      </c>
      <c r="I386" s="6">
        <v>2</v>
      </c>
      <c r="J386" s="25">
        <v>0.18</v>
      </c>
      <c r="K386" s="25">
        <v>2.72</v>
      </c>
      <c r="L386" s="9">
        <v>0</v>
      </c>
      <c r="M386" s="39" t="str">
        <f t="shared" ref="M386:M449" si="12">IF(K386 &gt; 382.93, "Outlier (Extreme Spend)", "Normal Transaction")</f>
        <v>Normal Transaction</v>
      </c>
    </row>
    <row r="387" spans="1:13" x14ac:dyDescent="0.35">
      <c r="A387" s="27">
        <v>386</v>
      </c>
      <c r="B387" s="2" t="s">
        <v>6</v>
      </c>
      <c r="C387" s="2" t="s">
        <v>7</v>
      </c>
      <c r="D387" s="2" t="s">
        <v>8</v>
      </c>
      <c r="E387" s="2" t="s">
        <v>3</v>
      </c>
      <c r="F387" s="9" t="s">
        <v>15</v>
      </c>
      <c r="G387" s="9" t="str">
        <f t="shared" ref="G387:G450" si="13">_xlfn.XLOOKUP(F387,$Q$2:$Q$6,$R$2:$R$6,"Unknown")</f>
        <v>Household</v>
      </c>
      <c r="H387" s="25">
        <v>10.94</v>
      </c>
      <c r="I387" s="6">
        <v>20</v>
      </c>
      <c r="J387" s="25">
        <v>15.32</v>
      </c>
      <c r="K387" s="25">
        <v>234.12</v>
      </c>
      <c r="L387" s="9">
        <v>0</v>
      </c>
      <c r="M387" s="39" t="str">
        <f t="shared" si="12"/>
        <v>Normal Transaction</v>
      </c>
    </row>
    <row r="388" spans="1:13" x14ac:dyDescent="0.35">
      <c r="A388" s="27">
        <v>387</v>
      </c>
      <c r="B388" s="2" t="s">
        <v>31</v>
      </c>
      <c r="C388" s="2" t="s">
        <v>1</v>
      </c>
      <c r="D388" s="2" t="s">
        <v>2</v>
      </c>
      <c r="E388" s="2" t="s">
        <v>3</v>
      </c>
      <c r="F388" s="9" t="s">
        <v>4</v>
      </c>
      <c r="G388" s="9" t="str">
        <f t="shared" si="13"/>
        <v>Personal Care</v>
      </c>
      <c r="H388" s="25">
        <v>9.43</v>
      </c>
      <c r="I388" s="6">
        <v>1</v>
      </c>
      <c r="J388" s="25">
        <v>0.66</v>
      </c>
      <c r="K388" s="25">
        <v>10.09</v>
      </c>
      <c r="L388" s="9">
        <v>1</v>
      </c>
      <c r="M388" s="39" t="str">
        <f t="shared" si="12"/>
        <v>Normal Transaction</v>
      </c>
    </row>
    <row r="389" spans="1:13" x14ac:dyDescent="0.35">
      <c r="A389" s="27">
        <v>388</v>
      </c>
      <c r="B389" s="2" t="s">
        <v>31</v>
      </c>
      <c r="C389" s="2" t="s">
        <v>1</v>
      </c>
      <c r="D389" s="2" t="s">
        <v>8</v>
      </c>
      <c r="E389" s="2" t="s">
        <v>3</v>
      </c>
      <c r="F389" s="9" t="s">
        <v>17</v>
      </c>
      <c r="G389" s="9" t="str">
        <f t="shared" si="13"/>
        <v>Beverages</v>
      </c>
      <c r="H389" s="25">
        <v>11.75</v>
      </c>
      <c r="I389" s="6">
        <v>14</v>
      </c>
      <c r="J389" s="25">
        <v>11.52</v>
      </c>
      <c r="K389" s="25">
        <v>176.02</v>
      </c>
      <c r="L389" s="9">
        <v>0</v>
      </c>
      <c r="M389" s="39" t="str">
        <f t="shared" si="12"/>
        <v>Normal Transaction</v>
      </c>
    </row>
    <row r="390" spans="1:13" x14ac:dyDescent="0.35">
      <c r="A390" s="27">
        <v>389</v>
      </c>
      <c r="B390" s="2" t="s">
        <v>0</v>
      </c>
      <c r="C390" s="2" t="s">
        <v>14</v>
      </c>
      <c r="D390" s="2" t="s">
        <v>2</v>
      </c>
      <c r="E390" s="2" t="s">
        <v>3</v>
      </c>
      <c r="F390" s="9" t="s">
        <v>17</v>
      </c>
      <c r="G390" s="9" t="str">
        <f t="shared" si="13"/>
        <v>Beverages</v>
      </c>
      <c r="H390" s="25">
        <v>19.88</v>
      </c>
      <c r="I390" s="6">
        <v>10</v>
      </c>
      <c r="J390" s="25">
        <v>13.92</v>
      </c>
      <c r="K390" s="25">
        <v>212.72</v>
      </c>
      <c r="L390" s="9">
        <v>21</v>
      </c>
      <c r="M390" s="39" t="str">
        <f t="shared" si="12"/>
        <v>Normal Transaction</v>
      </c>
    </row>
    <row r="391" spans="1:13" x14ac:dyDescent="0.35">
      <c r="A391" s="27">
        <v>390</v>
      </c>
      <c r="B391" s="2" t="s">
        <v>0</v>
      </c>
      <c r="C391" s="2" t="s">
        <v>14</v>
      </c>
      <c r="D391" s="2" t="s">
        <v>2</v>
      </c>
      <c r="E391" s="2" t="s">
        <v>3</v>
      </c>
      <c r="F391" s="9" t="s">
        <v>17</v>
      </c>
      <c r="G391" s="9" t="str">
        <f t="shared" si="13"/>
        <v>Beverages</v>
      </c>
      <c r="H391" s="25">
        <v>12.38</v>
      </c>
      <c r="I391" s="6">
        <v>10</v>
      </c>
      <c r="J391" s="25">
        <v>8.67</v>
      </c>
      <c r="K391" s="25">
        <v>132.47</v>
      </c>
      <c r="L391" s="9">
        <v>13</v>
      </c>
      <c r="M391" s="39" t="str">
        <f t="shared" si="12"/>
        <v>Normal Transaction</v>
      </c>
    </row>
    <row r="392" spans="1:13" x14ac:dyDescent="0.35">
      <c r="A392" s="27">
        <v>391</v>
      </c>
      <c r="B392" s="2" t="s">
        <v>6</v>
      </c>
      <c r="C392" s="2" t="s">
        <v>7</v>
      </c>
      <c r="D392" s="2" t="s">
        <v>8</v>
      </c>
      <c r="E392" s="2" t="s">
        <v>3</v>
      </c>
      <c r="F392" s="9" t="s">
        <v>12</v>
      </c>
      <c r="G392" s="9" t="str">
        <f t="shared" si="13"/>
        <v>Fruits</v>
      </c>
      <c r="H392" s="25">
        <v>16.43</v>
      </c>
      <c r="I392" s="6">
        <v>5</v>
      </c>
      <c r="J392" s="25">
        <v>5.75</v>
      </c>
      <c r="K392" s="25">
        <v>87.9</v>
      </c>
      <c r="L392" s="9">
        <v>0</v>
      </c>
      <c r="M392" s="39" t="str">
        <f t="shared" si="12"/>
        <v>Normal Transaction</v>
      </c>
    </row>
    <row r="393" spans="1:13" x14ac:dyDescent="0.35">
      <c r="A393" s="27">
        <v>392</v>
      </c>
      <c r="B393" s="2" t="s">
        <v>6</v>
      </c>
      <c r="C393" s="2" t="s">
        <v>7</v>
      </c>
      <c r="D393" s="2" t="s">
        <v>2</v>
      </c>
      <c r="E393" s="2" t="s">
        <v>3</v>
      </c>
      <c r="F393" s="9" t="s">
        <v>15</v>
      </c>
      <c r="G393" s="9" t="str">
        <f t="shared" si="13"/>
        <v>Household</v>
      </c>
      <c r="H393" s="25">
        <v>9.35</v>
      </c>
      <c r="I393" s="6">
        <v>3</v>
      </c>
      <c r="J393" s="25">
        <v>1.96</v>
      </c>
      <c r="K393" s="25">
        <v>30.01</v>
      </c>
      <c r="L393" s="9">
        <v>3</v>
      </c>
      <c r="M393" s="39" t="str">
        <f t="shared" si="12"/>
        <v>Normal Transaction</v>
      </c>
    </row>
    <row r="394" spans="1:13" x14ac:dyDescent="0.35">
      <c r="A394" s="27">
        <v>393</v>
      </c>
      <c r="B394" s="2" t="s">
        <v>31</v>
      </c>
      <c r="C394" s="2" t="s">
        <v>1</v>
      </c>
      <c r="D394" s="2" t="s">
        <v>8</v>
      </c>
      <c r="E394" s="2" t="s">
        <v>9</v>
      </c>
      <c r="F394" s="9" t="s">
        <v>17</v>
      </c>
      <c r="G394" s="9" t="str">
        <f t="shared" si="13"/>
        <v>Beverages</v>
      </c>
      <c r="H394" s="25">
        <v>5.19</v>
      </c>
      <c r="I394" s="6">
        <v>15</v>
      </c>
      <c r="J394" s="25">
        <v>5.45</v>
      </c>
      <c r="K394" s="25">
        <v>83.3</v>
      </c>
      <c r="L394" s="9">
        <v>0</v>
      </c>
      <c r="M394" s="39" t="str">
        <f t="shared" si="12"/>
        <v>Normal Transaction</v>
      </c>
    </row>
    <row r="395" spans="1:13" x14ac:dyDescent="0.35">
      <c r="A395" s="27">
        <v>394</v>
      </c>
      <c r="B395" s="2" t="s">
        <v>6</v>
      </c>
      <c r="C395" s="2" t="s">
        <v>7</v>
      </c>
      <c r="D395" s="2" t="s">
        <v>2</v>
      </c>
      <c r="E395" s="2" t="s">
        <v>3</v>
      </c>
      <c r="F395" s="9" t="s">
        <v>17</v>
      </c>
      <c r="G395" s="9" t="str">
        <f t="shared" si="13"/>
        <v>Beverages</v>
      </c>
      <c r="H395" s="25">
        <v>12.07</v>
      </c>
      <c r="I395" s="6">
        <v>7</v>
      </c>
      <c r="J395" s="25">
        <v>5.91</v>
      </c>
      <c r="K395" s="25">
        <v>90.4</v>
      </c>
      <c r="L395" s="9">
        <v>9</v>
      </c>
      <c r="M395" s="39" t="str">
        <f t="shared" si="12"/>
        <v>Normal Transaction</v>
      </c>
    </row>
    <row r="396" spans="1:13" x14ac:dyDescent="0.35">
      <c r="A396" s="27">
        <v>395</v>
      </c>
      <c r="B396" s="2" t="s">
        <v>0</v>
      </c>
      <c r="C396" s="2" t="s">
        <v>14</v>
      </c>
      <c r="D396" s="2" t="s">
        <v>8</v>
      </c>
      <c r="E396" s="2" t="s">
        <v>3</v>
      </c>
      <c r="F396" s="9" t="s">
        <v>17</v>
      </c>
      <c r="G396" s="9" t="str">
        <f t="shared" si="13"/>
        <v>Beverages</v>
      </c>
      <c r="H396" s="25">
        <v>13.42</v>
      </c>
      <c r="I396" s="6">
        <v>8</v>
      </c>
      <c r="J396" s="25">
        <v>7.52</v>
      </c>
      <c r="K396" s="25">
        <v>114.88</v>
      </c>
      <c r="L396" s="9">
        <v>0</v>
      </c>
      <c r="M396" s="39" t="str">
        <f t="shared" si="12"/>
        <v>Normal Transaction</v>
      </c>
    </row>
    <row r="397" spans="1:13" x14ac:dyDescent="0.35">
      <c r="A397" s="27">
        <v>396</v>
      </c>
      <c r="B397" s="2" t="s">
        <v>6</v>
      </c>
      <c r="C397" s="2" t="s">
        <v>7</v>
      </c>
      <c r="D397" s="2" t="s">
        <v>2</v>
      </c>
      <c r="E397" s="2" t="s">
        <v>3</v>
      </c>
      <c r="F397" s="9" t="s">
        <v>10</v>
      </c>
      <c r="G397" s="9" t="str">
        <f t="shared" si="13"/>
        <v>Stationery</v>
      </c>
      <c r="H397" s="25">
        <v>3.34</v>
      </c>
      <c r="I397" s="6">
        <v>13</v>
      </c>
      <c r="J397" s="25">
        <v>3.04</v>
      </c>
      <c r="K397" s="25">
        <v>46.46</v>
      </c>
      <c r="L397" s="9">
        <v>4</v>
      </c>
      <c r="M397" s="39" t="str">
        <f t="shared" si="12"/>
        <v>Normal Transaction</v>
      </c>
    </row>
    <row r="398" spans="1:13" x14ac:dyDescent="0.35">
      <c r="A398" s="27">
        <v>397</v>
      </c>
      <c r="B398" s="2" t="s">
        <v>6</v>
      </c>
      <c r="C398" s="2" t="s">
        <v>7</v>
      </c>
      <c r="D398" s="2" t="s">
        <v>2</v>
      </c>
      <c r="E398" s="2" t="s">
        <v>9</v>
      </c>
      <c r="F398" s="9" t="s">
        <v>10</v>
      </c>
      <c r="G398" s="9" t="str">
        <f t="shared" si="13"/>
        <v>Stationery</v>
      </c>
      <c r="H398" s="25">
        <v>2.44</v>
      </c>
      <c r="I398" s="6">
        <v>4</v>
      </c>
      <c r="J398" s="25">
        <v>0.68</v>
      </c>
      <c r="K398" s="25">
        <v>10.44</v>
      </c>
      <c r="L398" s="9">
        <v>1</v>
      </c>
      <c r="M398" s="39" t="str">
        <f t="shared" si="12"/>
        <v>Normal Transaction</v>
      </c>
    </row>
    <row r="399" spans="1:13" x14ac:dyDescent="0.35">
      <c r="A399" s="27">
        <v>398</v>
      </c>
      <c r="B399" s="2" t="s">
        <v>31</v>
      </c>
      <c r="C399" s="2" t="s">
        <v>1</v>
      </c>
      <c r="D399" s="2" t="s">
        <v>8</v>
      </c>
      <c r="E399" s="2" t="s">
        <v>3</v>
      </c>
      <c r="F399" s="9" t="s">
        <v>12</v>
      </c>
      <c r="G399" s="9" t="str">
        <f t="shared" si="13"/>
        <v>Fruits</v>
      </c>
      <c r="H399" s="25">
        <v>19.170000000000002</v>
      </c>
      <c r="I399" s="6">
        <v>2</v>
      </c>
      <c r="J399" s="25">
        <v>2.68</v>
      </c>
      <c r="K399" s="25">
        <v>41.02</v>
      </c>
      <c r="L399" s="9">
        <v>0</v>
      </c>
      <c r="M399" s="39" t="str">
        <f t="shared" si="12"/>
        <v>Normal Transaction</v>
      </c>
    </row>
    <row r="400" spans="1:13" x14ac:dyDescent="0.35">
      <c r="A400" s="27">
        <v>399</v>
      </c>
      <c r="B400" s="2" t="s">
        <v>0</v>
      </c>
      <c r="C400" s="2" t="s">
        <v>14</v>
      </c>
      <c r="D400" s="2" t="s">
        <v>8</v>
      </c>
      <c r="E400" s="2" t="s">
        <v>9</v>
      </c>
      <c r="F400" s="9" t="s">
        <v>4</v>
      </c>
      <c r="G400" s="9" t="str">
        <f t="shared" si="13"/>
        <v>Personal Care</v>
      </c>
      <c r="H400" s="25">
        <v>6.47</v>
      </c>
      <c r="I400" s="6">
        <v>19</v>
      </c>
      <c r="J400" s="25">
        <v>8.61</v>
      </c>
      <c r="K400" s="25">
        <v>131.54</v>
      </c>
      <c r="L400" s="9">
        <v>0</v>
      </c>
      <c r="M400" s="39" t="str">
        <f t="shared" si="12"/>
        <v>Normal Transaction</v>
      </c>
    </row>
    <row r="401" spans="1:13" x14ac:dyDescent="0.35">
      <c r="A401" s="27">
        <v>400</v>
      </c>
      <c r="B401" s="2" t="s">
        <v>31</v>
      </c>
      <c r="C401" s="2" t="s">
        <v>1</v>
      </c>
      <c r="D401" s="2" t="s">
        <v>8</v>
      </c>
      <c r="E401" s="2" t="s">
        <v>3</v>
      </c>
      <c r="F401" s="9" t="s">
        <v>10</v>
      </c>
      <c r="G401" s="9" t="str">
        <f t="shared" si="13"/>
        <v>Stationery</v>
      </c>
      <c r="H401" s="25">
        <v>16.38</v>
      </c>
      <c r="I401" s="6">
        <v>12</v>
      </c>
      <c r="J401" s="25">
        <v>13.76</v>
      </c>
      <c r="K401" s="25">
        <v>210.32</v>
      </c>
      <c r="L401" s="9">
        <v>0</v>
      </c>
      <c r="M401" s="39" t="str">
        <f t="shared" si="12"/>
        <v>Normal Transaction</v>
      </c>
    </row>
    <row r="402" spans="1:13" x14ac:dyDescent="0.35">
      <c r="A402" s="27">
        <v>401</v>
      </c>
      <c r="B402" s="2" t="s">
        <v>6</v>
      </c>
      <c r="C402" s="2" t="s">
        <v>7</v>
      </c>
      <c r="D402" s="2" t="s">
        <v>8</v>
      </c>
      <c r="E402" s="2" t="s">
        <v>9</v>
      </c>
      <c r="F402" s="9" t="s">
        <v>15</v>
      </c>
      <c r="G402" s="9" t="str">
        <f t="shared" si="13"/>
        <v>Household</v>
      </c>
      <c r="H402" s="25">
        <v>3.8</v>
      </c>
      <c r="I402" s="6">
        <v>5</v>
      </c>
      <c r="J402" s="25">
        <v>1.33</v>
      </c>
      <c r="K402" s="25">
        <v>20.329999999999998</v>
      </c>
      <c r="L402" s="9">
        <v>0</v>
      </c>
      <c r="M402" s="39" t="str">
        <f t="shared" si="12"/>
        <v>Normal Transaction</v>
      </c>
    </row>
    <row r="403" spans="1:13" x14ac:dyDescent="0.35">
      <c r="A403" s="27">
        <v>402</v>
      </c>
      <c r="B403" s="2" t="s">
        <v>0</v>
      </c>
      <c r="C403" s="2" t="s">
        <v>14</v>
      </c>
      <c r="D403" s="2" t="s">
        <v>8</v>
      </c>
      <c r="E403" s="2" t="s">
        <v>3</v>
      </c>
      <c r="F403" s="9" t="s">
        <v>15</v>
      </c>
      <c r="G403" s="9" t="str">
        <f t="shared" si="13"/>
        <v>Household</v>
      </c>
      <c r="H403" s="25">
        <v>17.600000000000001</v>
      </c>
      <c r="I403" s="6">
        <v>8</v>
      </c>
      <c r="J403" s="25">
        <v>9.86</v>
      </c>
      <c r="K403" s="25">
        <v>150.66</v>
      </c>
      <c r="L403" s="9">
        <v>0</v>
      </c>
      <c r="M403" s="39" t="str">
        <f t="shared" si="12"/>
        <v>Normal Transaction</v>
      </c>
    </row>
    <row r="404" spans="1:13" x14ac:dyDescent="0.35">
      <c r="A404" s="27">
        <v>403</v>
      </c>
      <c r="B404" s="2" t="s">
        <v>31</v>
      </c>
      <c r="C404" s="2" t="s">
        <v>1</v>
      </c>
      <c r="D404" s="2" t="s">
        <v>2</v>
      </c>
      <c r="E404" s="2" t="s">
        <v>9</v>
      </c>
      <c r="F404" s="9" t="s">
        <v>12</v>
      </c>
      <c r="G404" s="9" t="str">
        <f t="shared" si="13"/>
        <v>Fruits</v>
      </c>
      <c r="H404" s="25">
        <v>5.09</v>
      </c>
      <c r="I404" s="6">
        <v>4</v>
      </c>
      <c r="J404" s="25">
        <v>1.43</v>
      </c>
      <c r="K404" s="25">
        <v>21.79</v>
      </c>
      <c r="L404" s="9">
        <v>2</v>
      </c>
      <c r="M404" s="39" t="str">
        <f t="shared" si="12"/>
        <v>Normal Transaction</v>
      </c>
    </row>
    <row r="405" spans="1:13" x14ac:dyDescent="0.35">
      <c r="A405" s="27">
        <v>404</v>
      </c>
      <c r="B405" s="2" t="s">
        <v>6</v>
      </c>
      <c r="C405" s="2" t="s">
        <v>7</v>
      </c>
      <c r="D405" s="2" t="s">
        <v>2</v>
      </c>
      <c r="E405" s="2" t="s">
        <v>3</v>
      </c>
      <c r="F405" s="9" t="s">
        <v>15</v>
      </c>
      <c r="G405" s="9" t="str">
        <f t="shared" si="13"/>
        <v>Household</v>
      </c>
      <c r="H405" s="25">
        <v>16.329999999999998</v>
      </c>
      <c r="I405" s="6">
        <v>2</v>
      </c>
      <c r="J405" s="25">
        <v>2.29</v>
      </c>
      <c r="K405" s="25">
        <v>34.950000000000003</v>
      </c>
      <c r="L405" s="9">
        <v>3</v>
      </c>
      <c r="M405" s="39" t="str">
        <f t="shared" si="12"/>
        <v>Normal Transaction</v>
      </c>
    </row>
    <row r="406" spans="1:13" x14ac:dyDescent="0.35">
      <c r="A406" s="27">
        <v>405</v>
      </c>
      <c r="B406" s="2" t="s">
        <v>0</v>
      </c>
      <c r="C406" s="2" t="s">
        <v>14</v>
      </c>
      <c r="D406" s="2" t="s">
        <v>8</v>
      </c>
      <c r="E406" s="2" t="s">
        <v>3</v>
      </c>
      <c r="F406" s="9" t="s">
        <v>15</v>
      </c>
      <c r="G406" s="9" t="str">
        <f t="shared" si="13"/>
        <v>Household</v>
      </c>
      <c r="H406" s="25">
        <v>3.4</v>
      </c>
      <c r="I406" s="6">
        <v>13</v>
      </c>
      <c r="J406" s="25">
        <v>3.09</v>
      </c>
      <c r="K406" s="25">
        <v>47.29</v>
      </c>
      <c r="L406" s="9">
        <v>0</v>
      </c>
      <c r="M406" s="39" t="str">
        <f t="shared" si="12"/>
        <v>Normal Transaction</v>
      </c>
    </row>
    <row r="407" spans="1:13" x14ac:dyDescent="0.35">
      <c r="A407" s="27">
        <v>406</v>
      </c>
      <c r="B407" s="2" t="s">
        <v>0</v>
      </c>
      <c r="C407" s="2" t="s">
        <v>14</v>
      </c>
      <c r="D407" s="2" t="s">
        <v>2</v>
      </c>
      <c r="E407" s="2" t="s">
        <v>3</v>
      </c>
      <c r="F407" s="9" t="s">
        <v>15</v>
      </c>
      <c r="G407" s="9" t="str">
        <f t="shared" si="13"/>
        <v>Household</v>
      </c>
      <c r="H407" s="25">
        <v>13.3</v>
      </c>
      <c r="I407" s="6">
        <v>17</v>
      </c>
      <c r="J407" s="25">
        <v>15.83</v>
      </c>
      <c r="K407" s="25">
        <v>241.93</v>
      </c>
      <c r="L407" s="9">
        <v>24</v>
      </c>
      <c r="M407" s="39" t="str">
        <f t="shared" si="12"/>
        <v>Normal Transaction</v>
      </c>
    </row>
    <row r="408" spans="1:13" x14ac:dyDescent="0.35">
      <c r="A408" s="27">
        <v>407</v>
      </c>
      <c r="B408" s="2" t="s">
        <v>6</v>
      </c>
      <c r="C408" s="2" t="s">
        <v>7</v>
      </c>
      <c r="D408" s="2" t="s">
        <v>2</v>
      </c>
      <c r="E408" s="2" t="s">
        <v>3</v>
      </c>
      <c r="F408" s="9" t="s">
        <v>10</v>
      </c>
      <c r="G408" s="9" t="str">
        <f t="shared" si="13"/>
        <v>Stationery</v>
      </c>
      <c r="H408" s="25">
        <v>12.39</v>
      </c>
      <c r="I408" s="6">
        <v>7</v>
      </c>
      <c r="J408" s="25">
        <v>6.07</v>
      </c>
      <c r="K408" s="25">
        <v>92.8</v>
      </c>
      <c r="L408" s="9">
        <v>9</v>
      </c>
      <c r="M408" s="39" t="str">
        <f t="shared" si="12"/>
        <v>Normal Transaction</v>
      </c>
    </row>
    <row r="409" spans="1:13" x14ac:dyDescent="0.35">
      <c r="A409" s="27">
        <v>408</v>
      </c>
      <c r="B409" s="2" t="s">
        <v>0</v>
      </c>
      <c r="C409" s="2" t="s">
        <v>14</v>
      </c>
      <c r="D409" s="2" t="s">
        <v>8</v>
      </c>
      <c r="E409" s="2" t="s">
        <v>9</v>
      </c>
      <c r="F409" s="9" t="s">
        <v>15</v>
      </c>
      <c r="G409" s="9" t="str">
        <f t="shared" si="13"/>
        <v>Household</v>
      </c>
      <c r="H409" s="25">
        <v>2.62</v>
      </c>
      <c r="I409" s="6">
        <v>14</v>
      </c>
      <c r="J409" s="25">
        <v>2.57</v>
      </c>
      <c r="K409" s="25">
        <v>39.25</v>
      </c>
      <c r="L409" s="9">
        <v>0</v>
      </c>
      <c r="M409" s="39" t="str">
        <f t="shared" si="12"/>
        <v>Normal Transaction</v>
      </c>
    </row>
    <row r="410" spans="1:13" x14ac:dyDescent="0.35">
      <c r="A410" s="27">
        <v>409</v>
      </c>
      <c r="B410" s="2" t="s">
        <v>6</v>
      </c>
      <c r="C410" s="2" t="s">
        <v>7</v>
      </c>
      <c r="D410" s="2" t="s">
        <v>8</v>
      </c>
      <c r="E410" s="2" t="s">
        <v>9</v>
      </c>
      <c r="F410" s="9" t="s">
        <v>4</v>
      </c>
      <c r="G410" s="9" t="str">
        <f t="shared" si="13"/>
        <v>Personal Care</v>
      </c>
      <c r="H410" s="25">
        <v>18.12</v>
      </c>
      <c r="I410" s="6">
        <v>2</v>
      </c>
      <c r="J410" s="25">
        <v>2.54</v>
      </c>
      <c r="K410" s="25">
        <v>38.78</v>
      </c>
      <c r="L410" s="9">
        <v>0</v>
      </c>
      <c r="M410" s="39" t="str">
        <f t="shared" si="12"/>
        <v>Normal Transaction</v>
      </c>
    </row>
    <row r="411" spans="1:13" x14ac:dyDescent="0.35">
      <c r="A411" s="27">
        <v>410</v>
      </c>
      <c r="B411" s="2" t="s">
        <v>6</v>
      </c>
      <c r="C411" s="2" t="s">
        <v>7</v>
      </c>
      <c r="D411" s="2" t="s">
        <v>2</v>
      </c>
      <c r="E411" s="2" t="s">
        <v>9</v>
      </c>
      <c r="F411" s="9" t="s">
        <v>15</v>
      </c>
      <c r="G411" s="9" t="str">
        <f t="shared" si="13"/>
        <v>Household</v>
      </c>
      <c r="H411" s="25">
        <v>7.28</v>
      </c>
      <c r="I411" s="6">
        <v>18</v>
      </c>
      <c r="J411" s="25">
        <v>9.17</v>
      </c>
      <c r="K411" s="25">
        <v>140.21</v>
      </c>
      <c r="L411" s="9">
        <v>14</v>
      </c>
      <c r="M411" s="39" t="str">
        <f t="shared" si="12"/>
        <v>Normal Transaction</v>
      </c>
    </row>
    <row r="412" spans="1:13" x14ac:dyDescent="0.35">
      <c r="A412" s="27">
        <v>411</v>
      </c>
      <c r="B412" s="2" t="s">
        <v>6</v>
      </c>
      <c r="C412" s="2" t="s">
        <v>7</v>
      </c>
      <c r="D412" s="2" t="s">
        <v>8</v>
      </c>
      <c r="E412" s="2" t="s">
        <v>3</v>
      </c>
      <c r="F412" s="9" t="s">
        <v>17</v>
      </c>
      <c r="G412" s="9" t="str">
        <f t="shared" si="13"/>
        <v>Beverages</v>
      </c>
      <c r="H412" s="25">
        <v>17.850000000000001</v>
      </c>
      <c r="I412" s="6">
        <v>11</v>
      </c>
      <c r="J412" s="25">
        <v>13.74</v>
      </c>
      <c r="K412" s="25">
        <v>210.09</v>
      </c>
      <c r="L412" s="9">
        <v>0</v>
      </c>
      <c r="M412" s="39" t="str">
        <f t="shared" si="12"/>
        <v>Normal Transaction</v>
      </c>
    </row>
    <row r="413" spans="1:13" x14ac:dyDescent="0.35">
      <c r="A413" s="27">
        <v>412</v>
      </c>
      <c r="B413" s="2" t="s">
        <v>31</v>
      </c>
      <c r="C413" s="2" t="s">
        <v>1</v>
      </c>
      <c r="D413" s="2" t="s">
        <v>2</v>
      </c>
      <c r="E413" s="2" t="s">
        <v>3</v>
      </c>
      <c r="F413" s="9" t="s">
        <v>17</v>
      </c>
      <c r="G413" s="9" t="str">
        <f t="shared" si="13"/>
        <v>Beverages</v>
      </c>
      <c r="H413" s="25">
        <v>6.46</v>
      </c>
      <c r="I413" s="6">
        <v>6</v>
      </c>
      <c r="J413" s="25">
        <v>2.71</v>
      </c>
      <c r="K413" s="25">
        <v>41.47</v>
      </c>
      <c r="L413" s="9">
        <v>4</v>
      </c>
      <c r="M413" s="39" t="str">
        <f t="shared" si="12"/>
        <v>Normal Transaction</v>
      </c>
    </row>
    <row r="414" spans="1:13" x14ac:dyDescent="0.35">
      <c r="A414" s="27">
        <v>413</v>
      </c>
      <c r="B414" s="2" t="s">
        <v>0</v>
      </c>
      <c r="C414" s="2" t="s">
        <v>14</v>
      </c>
      <c r="D414" s="2" t="s">
        <v>2</v>
      </c>
      <c r="E414" s="2" t="s">
        <v>9</v>
      </c>
      <c r="F414" s="9" t="s">
        <v>15</v>
      </c>
      <c r="G414" s="9" t="str">
        <f t="shared" si="13"/>
        <v>Household</v>
      </c>
      <c r="H414" s="25">
        <v>8.7200000000000006</v>
      </c>
      <c r="I414" s="6">
        <v>5</v>
      </c>
      <c r="J414" s="25">
        <v>3.05</v>
      </c>
      <c r="K414" s="25">
        <v>46.65</v>
      </c>
      <c r="L414" s="9">
        <v>4</v>
      </c>
      <c r="M414" s="39" t="str">
        <f t="shared" si="12"/>
        <v>Normal Transaction</v>
      </c>
    </row>
    <row r="415" spans="1:13" x14ac:dyDescent="0.35">
      <c r="A415" s="27">
        <v>414</v>
      </c>
      <c r="B415" s="2" t="s">
        <v>0</v>
      </c>
      <c r="C415" s="2" t="s">
        <v>14</v>
      </c>
      <c r="D415" s="2" t="s">
        <v>8</v>
      </c>
      <c r="E415" s="2" t="s">
        <v>9</v>
      </c>
      <c r="F415" s="9" t="s">
        <v>4</v>
      </c>
      <c r="G415" s="9" t="str">
        <f t="shared" si="13"/>
        <v>Personal Care</v>
      </c>
      <c r="H415" s="25">
        <v>15.92</v>
      </c>
      <c r="I415" s="6">
        <v>5</v>
      </c>
      <c r="J415" s="25">
        <v>5.57</v>
      </c>
      <c r="K415" s="25">
        <v>85.17</v>
      </c>
      <c r="L415" s="9">
        <v>0</v>
      </c>
      <c r="M415" s="39" t="str">
        <f t="shared" si="12"/>
        <v>Normal Transaction</v>
      </c>
    </row>
    <row r="416" spans="1:13" x14ac:dyDescent="0.35">
      <c r="A416" s="27">
        <v>415</v>
      </c>
      <c r="B416" s="2" t="s">
        <v>31</v>
      </c>
      <c r="C416" s="2" t="s">
        <v>1</v>
      </c>
      <c r="D416" s="2" t="s">
        <v>8</v>
      </c>
      <c r="E416" s="2" t="s">
        <v>3</v>
      </c>
      <c r="F416" s="9" t="s">
        <v>12</v>
      </c>
      <c r="G416" s="9" t="str">
        <f t="shared" si="13"/>
        <v>Fruits</v>
      </c>
      <c r="H416" s="25">
        <v>15.52</v>
      </c>
      <c r="I416" s="6">
        <v>8</v>
      </c>
      <c r="J416" s="25">
        <v>8.69</v>
      </c>
      <c r="K416" s="25">
        <v>132.85</v>
      </c>
      <c r="L416" s="9">
        <v>0</v>
      </c>
      <c r="M416" s="39" t="str">
        <f t="shared" si="12"/>
        <v>Normal Transaction</v>
      </c>
    </row>
    <row r="417" spans="1:13" x14ac:dyDescent="0.35">
      <c r="A417" s="27">
        <v>416</v>
      </c>
      <c r="B417" s="2" t="s">
        <v>0</v>
      </c>
      <c r="C417" s="2" t="s">
        <v>14</v>
      </c>
      <c r="D417" s="2" t="s">
        <v>2</v>
      </c>
      <c r="E417" s="2" t="s">
        <v>9</v>
      </c>
      <c r="F417" s="9" t="s">
        <v>15</v>
      </c>
      <c r="G417" s="9" t="str">
        <f t="shared" si="13"/>
        <v>Household</v>
      </c>
      <c r="H417" s="25">
        <v>8.26</v>
      </c>
      <c r="I417" s="6">
        <v>10</v>
      </c>
      <c r="J417" s="25">
        <v>5.78</v>
      </c>
      <c r="K417" s="25">
        <v>88.38</v>
      </c>
      <c r="L417" s="9">
        <v>8</v>
      </c>
      <c r="M417" s="39" t="str">
        <f t="shared" si="12"/>
        <v>Normal Transaction</v>
      </c>
    </row>
    <row r="418" spans="1:13" x14ac:dyDescent="0.35">
      <c r="A418" s="27">
        <v>417</v>
      </c>
      <c r="B418" s="2" t="s">
        <v>31</v>
      </c>
      <c r="C418" s="2" t="s">
        <v>1</v>
      </c>
      <c r="D418" s="2" t="s">
        <v>2</v>
      </c>
      <c r="E418" s="2" t="s">
        <v>9</v>
      </c>
      <c r="F418" s="9" t="s">
        <v>10</v>
      </c>
      <c r="G418" s="9" t="str">
        <f t="shared" si="13"/>
        <v>Stationery</v>
      </c>
      <c r="H418" s="25">
        <v>13.19</v>
      </c>
      <c r="I418" s="6">
        <v>17</v>
      </c>
      <c r="J418" s="25">
        <v>15.7</v>
      </c>
      <c r="K418" s="25">
        <v>239.93</v>
      </c>
      <c r="L418" s="9">
        <v>23</v>
      </c>
      <c r="M418" s="39" t="str">
        <f t="shared" si="12"/>
        <v>Normal Transaction</v>
      </c>
    </row>
    <row r="419" spans="1:13" x14ac:dyDescent="0.35">
      <c r="A419" s="27">
        <v>418</v>
      </c>
      <c r="B419" s="2" t="s">
        <v>0</v>
      </c>
      <c r="C419" s="2" t="s">
        <v>14</v>
      </c>
      <c r="D419" s="2" t="s">
        <v>2</v>
      </c>
      <c r="E419" s="2" t="s">
        <v>9</v>
      </c>
      <c r="F419" s="9" t="s">
        <v>12</v>
      </c>
      <c r="G419" s="9" t="str">
        <f t="shared" si="13"/>
        <v>Fruits</v>
      </c>
      <c r="H419" s="25">
        <v>1.21</v>
      </c>
      <c r="I419" s="6">
        <v>20</v>
      </c>
      <c r="J419" s="25">
        <v>1.69</v>
      </c>
      <c r="K419" s="25">
        <v>25.89</v>
      </c>
      <c r="L419" s="9">
        <v>2</v>
      </c>
      <c r="M419" s="39" t="str">
        <f t="shared" si="12"/>
        <v>Normal Transaction</v>
      </c>
    </row>
    <row r="420" spans="1:13" x14ac:dyDescent="0.35">
      <c r="A420" s="27">
        <v>419</v>
      </c>
      <c r="B420" s="2" t="s">
        <v>31</v>
      </c>
      <c r="C420" s="2" t="s">
        <v>1</v>
      </c>
      <c r="D420" s="2" t="s">
        <v>8</v>
      </c>
      <c r="E420" s="2" t="s">
        <v>3</v>
      </c>
      <c r="F420" s="9" t="s">
        <v>15</v>
      </c>
      <c r="G420" s="9" t="str">
        <f t="shared" si="13"/>
        <v>Household</v>
      </c>
      <c r="H420" s="25">
        <v>20.63</v>
      </c>
      <c r="I420" s="6">
        <v>11</v>
      </c>
      <c r="J420" s="25">
        <v>15.89</v>
      </c>
      <c r="K420" s="25">
        <v>242.82</v>
      </c>
      <c r="L420" s="9">
        <v>0</v>
      </c>
      <c r="M420" s="39" t="str">
        <f t="shared" si="12"/>
        <v>Normal Transaction</v>
      </c>
    </row>
    <row r="421" spans="1:13" x14ac:dyDescent="0.35">
      <c r="A421" s="27">
        <v>420</v>
      </c>
      <c r="B421" s="2" t="s">
        <v>31</v>
      </c>
      <c r="C421" s="2" t="s">
        <v>1</v>
      </c>
      <c r="D421" s="2" t="s">
        <v>8</v>
      </c>
      <c r="E421" s="2" t="s">
        <v>3</v>
      </c>
      <c r="F421" s="9" t="s">
        <v>17</v>
      </c>
      <c r="G421" s="9" t="str">
        <f t="shared" si="13"/>
        <v>Beverages</v>
      </c>
      <c r="H421" s="25">
        <v>5.13</v>
      </c>
      <c r="I421" s="6">
        <v>9</v>
      </c>
      <c r="J421" s="25">
        <v>3.23</v>
      </c>
      <c r="K421" s="25">
        <v>49.4</v>
      </c>
      <c r="L421" s="9">
        <v>0</v>
      </c>
      <c r="M421" s="39" t="str">
        <f t="shared" si="12"/>
        <v>Normal Transaction</v>
      </c>
    </row>
    <row r="422" spans="1:13" x14ac:dyDescent="0.35">
      <c r="A422" s="27">
        <v>421</v>
      </c>
      <c r="B422" s="2" t="s">
        <v>6</v>
      </c>
      <c r="C422" s="2" t="s">
        <v>7</v>
      </c>
      <c r="D422" s="2" t="s">
        <v>2</v>
      </c>
      <c r="E422" s="2" t="s">
        <v>9</v>
      </c>
      <c r="F422" s="9" t="s">
        <v>4</v>
      </c>
      <c r="G422" s="9" t="str">
        <f t="shared" si="13"/>
        <v>Personal Care</v>
      </c>
      <c r="H422" s="25">
        <v>2.14</v>
      </c>
      <c r="I422" s="6">
        <v>6</v>
      </c>
      <c r="J422" s="25">
        <v>0.9</v>
      </c>
      <c r="K422" s="25">
        <v>13.74</v>
      </c>
      <c r="L422" s="9">
        <v>1</v>
      </c>
      <c r="M422" s="39" t="str">
        <f t="shared" si="12"/>
        <v>Normal Transaction</v>
      </c>
    </row>
    <row r="423" spans="1:13" x14ac:dyDescent="0.35">
      <c r="A423" s="27">
        <v>422</v>
      </c>
      <c r="B423" s="2" t="s">
        <v>31</v>
      </c>
      <c r="C423" s="2" t="s">
        <v>1</v>
      </c>
      <c r="D423" s="2" t="s">
        <v>2</v>
      </c>
      <c r="E423" s="2" t="s">
        <v>3</v>
      </c>
      <c r="F423" s="9" t="s">
        <v>4</v>
      </c>
      <c r="G423" s="9" t="str">
        <f t="shared" si="13"/>
        <v>Personal Care</v>
      </c>
      <c r="H423" s="25">
        <v>6.85</v>
      </c>
      <c r="I423" s="6">
        <v>4</v>
      </c>
      <c r="J423" s="25">
        <v>1.92</v>
      </c>
      <c r="K423" s="25">
        <v>29.32</v>
      </c>
      <c r="L423" s="9">
        <v>2</v>
      </c>
      <c r="M423" s="39" t="str">
        <f t="shared" si="12"/>
        <v>Normal Transaction</v>
      </c>
    </row>
    <row r="424" spans="1:13" x14ac:dyDescent="0.35">
      <c r="A424" s="27">
        <v>423</v>
      </c>
      <c r="B424" s="2" t="s">
        <v>6</v>
      </c>
      <c r="C424" s="2" t="s">
        <v>7</v>
      </c>
      <c r="D424" s="2" t="s">
        <v>8</v>
      </c>
      <c r="E424" s="2" t="s">
        <v>3</v>
      </c>
      <c r="F424" s="9" t="s">
        <v>12</v>
      </c>
      <c r="G424" s="9" t="str">
        <f t="shared" si="13"/>
        <v>Fruits</v>
      </c>
      <c r="H424" s="25">
        <v>12.59</v>
      </c>
      <c r="I424" s="6">
        <v>17</v>
      </c>
      <c r="J424" s="25">
        <v>14.98</v>
      </c>
      <c r="K424" s="25">
        <v>229.01</v>
      </c>
      <c r="L424" s="9">
        <v>0</v>
      </c>
      <c r="M424" s="39" t="str">
        <f t="shared" si="12"/>
        <v>Normal Transaction</v>
      </c>
    </row>
    <row r="425" spans="1:13" x14ac:dyDescent="0.35">
      <c r="A425" s="27">
        <v>424</v>
      </c>
      <c r="B425" s="2" t="s">
        <v>0</v>
      </c>
      <c r="C425" s="2" t="s">
        <v>14</v>
      </c>
      <c r="D425" s="2" t="s">
        <v>2</v>
      </c>
      <c r="E425" s="2" t="s">
        <v>9</v>
      </c>
      <c r="F425" s="9" t="s">
        <v>4</v>
      </c>
      <c r="G425" s="9" t="str">
        <f t="shared" si="13"/>
        <v>Personal Care</v>
      </c>
      <c r="H425" s="25">
        <v>20.82</v>
      </c>
      <c r="I425" s="6">
        <v>6</v>
      </c>
      <c r="J425" s="25">
        <v>8.74</v>
      </c>
      <c r="K425" s="25">
        <v>133.66</v>
      </c>
      <c r="L425" s="9">
        <v>13</v>
      </c>
      <c r="M425" s="39" t="str">
        <f t="shared" si="12"/>
        <v>Normal Transaction</v>
      </c>
    </row>
    <row r="426" spans="1:13" x14ac:dyDescent="0.35">
      <c r="A426" s="27">
        <v>425</v>
      </c>
      <c r="B426" s="2" t="s">
        <v>6</v>
      </c>
      <c r="C426" s="2" t="s">
        <v>7</v>
      </c>
      <c r="D426" s="2" t="s">
        <v>8</v>
      </c>
      <c r="E426" s="2" t="s">
        <v>9</v>
      </c>
      <c r="F426" s="9" t="s">
        <v>17</v>
      </c>
      <c r="G426" s="9" t="str">
        <f t="shared" si="13"/>
        <v>Beverages</v>
      </c>
      <c r="H426" s="25">
        <v>7.51</v>
      </c>
      <c r="I426" s="6">
        <v>18</v>
      </c>
      <c r="J426" s="25">
        <v>9.4600000000000009</v>
      </c>
      <c r="K426" s="25">
        <v>144.63999999999999</v>
      </c>
      <c r="L426" s="9">
        <v>0</v>
      </c>
      <c r="M426" s="39" t="str">
        <f t="shared" si="12"/>
        <v>Normal Transaction</v>
      </c>
    </row>
    <row r="427" spans="1:13" x14ac:dyDescent="0.35">
      <c r="A427" s="27">
        <v>426</v>
      </c>
      <c r="B427" s="2" t="s">
        <v>0</v>
      </c>
      <c r="C427" s="2" t="s">
        <v>14</v>
      </c>
      <c r="D427" s="2" t="s">
        <v>2</v>
      </c>
      <c r="E427" s="2" t="s">
        <v>3</v>
      </c>
      <c r="F427" s="9" t="s">
        <v>15</v>
      </c>
      <c r="G427" s="9" t="str">
        <f t="shared" si="13"/>
        <v>Household</v>
      </c>
      <c r="H427" s="25">
        <v>4.29</v>
      </c>
      <c r="I427" s="6">
        <v>20</v>
      </c>
      <c r="J427" s="25">
        <v>6.01</v>
      </c>
      <c r="K427" s="25">
        <v>91.81</v>
      </c>
      <c r="L427" s="9">
        <v>9</v>
      </c>
      <c r="M427" s="39" t="str">
        <f t="shared" si="12"/>
        <v>Normal Transaction</v>
      </c>
    </row>
    <row r="428" spans="1:13" x14ac:dyDescent="0.35">
      <c r="A428" s="27">
        <v>427</v>
      </c>
      <c r="B428" s="2" t="s">
        <v>31</v>
      </c>
      <c r="C428" s="2" t="s">
        <v>1</v>
      </c>
      <c r="D428" s="2" t="s">
        <v>8</v>
      </c>
      <c r="E428" s="2" t="s">
        <v>9</v>
      </c>
      <c r="F428" s="9" t="s">
        <v>12</v>
      </c>
      <c r="G428" s="9" t="str">
        <f t="shared" si="13"/>
        <v>Fruits</v>
      </c>
      <c r="H428" s="25">
        <v>11.05</v>
      </c>
      <c r="I428" s="6">
        <v>7</v>
      </c>
      <c r="J428" s="25">
        <v>5.41</v>
      </c>
      <c r="K428" s="25">
        <v>82.76</v>
      </c>
      <c r="L428" s="9">
        <v>0</v>
      </c>
      <c r="M428" s="39" t="str">
        <f t="shared" si="12"/>
        <v>Normal Transaction</v>
      </c>
    </row>
    <row r="429" spans="1:13" x14ac:dyDescent="0.35">
      <c r="A429" s="27">
        <v>428</v>
      </c>
      <c r="B429" s="2" t="s">
        <v>0</v>
      </c>
      <c r="C429" s="2" t="s">
        <v>14</v>
      </c>
      <c r="D429" s="2" t="s">
        <v>8</v>
      </c>
      <c r="E429" s="2" t="s">
        <v>3</v>
      </c>
      <c r="F429" s="9" t="s">
        <v>4</v>
      </c>
      <c r="G429" s="9" t="str">
        <f t="shared" si="13"/>
        <v>Personal Care</v>
      </c>
      <c r="H429" s="25">
        <v>17.100000000000001</v>
      </c>
      <c r="I429" s="6">
        <v>4</v>
      </c>
      <c r="J429" s="25">
        <v>4.79</v>
      </c>
      <c r="K429" s="25">
        <v>73.19</v>
      </c>
      <c r="L429" s="9">
        <v>0</v>
      </c>
      <c r="M429" s="39" t="str">
        <f t="shared" si="12"/>
        <v>Normal Transaction</v>
      </c>
    </row>
    <row r="430" spans="1:13" x14ac:dyDescent="0.35">
      <c r="A430" s="27">
        <v>429</v>
      </c>
      <c r="B430" s="2" t="s">
        <v>0</v>
      </c>
      <c r="C430" s="2" t="s">
        <v>14</v>
      </c>
      <c r="D430" s="2" t="s">
        <v>8</v>
      </c>
      <c r="E430" s="2" t="s">
        <v>9</v>
      </c>
      <c r="F430" s="9" t="s">
        <v>15</v>
      </c>
      <c r="G430" s="9" t="str">
        <f t="shared" si="13"/>
        <v>Household</v>
      </c>
      <c r="H430" s="25">
        <v>1.72</v>
      </c>
      <c r="I430" s="6">
        <v>13</v>
      </c>
      <c r="J430" s="25">
        <v>1.57</v>
      </c>
      <c r="K430" s="25">
        <v>23.93</v>
      </c>
      <c r="L430" s="9">
        <v>0</v>
      </c>
      <c r="M430" s="39" t="str">
        <f t="shared" si="12"/>
        <v>Normal Transaction</v>
      </c>
    </row>
    <row r="431" spans="1:13" x14ac:dyDescent="0.35">
      <c r="A431" s="27">
        <v>430</v>
      </c>
      <c r="B431" s="2" t="s">
        <v>0</v>
      </c>
      <c r="C431" s="2" t="s">
        <v>14</v>
      </c>
      <c r="D431" s="2" t="s">
        <v>8</v>
      </c>
      <c r="E431" s="2" t="s">
        <v>9</v>
      </c>
      <c r="F431" s="9" t="s">
        <v>12</v>
      </c>
      <c r="G431" s="9" t="str">
        <f t="shared" si="13"/>
        <v>Fruits</v>
      </c>
      <c r="H431" s="25">
        <v>17.88</v>
      </c>
      <c r="I431" s="6">
        <v>13</v>
      </c>
      <c r="J431" s="25">
        <v>16.27</v>
      </c>
      <c r="K431" s="25">
        <v>248.71</v>
      </c>
      <c r="L431" s="9">
        <v>0</v>
      </c>
      <c r="M431" s="39" t="str">
        <f t="shared" si="12"/>
        <v>Normal Transaction</v>
      </c>
    </row>
    <row r="432" spans="1:13" x14ac:dyDescent="0.35">
      <c r="A432" s="27">
        <v>431</v>
      </c>
      <c r="B432" s="2" t="s">
        <v>0</v>
      </c>
      <c r="C432" s="2" t="s">
        <v>14</v>
      </c>
      <c r="D432" s="2" t="s">
        <v>2</v>
      </c>
      <c r="E432" s="2" t="s">
        <v>9</v>
      </c>
      <c r="F432" s="9" t="s">
        <v>12</v>
      </c>
      <c r="G432" s="9" t="str">
        <f t="shared" si="13"/>
        <v>Fruits</v>
      </c>
      <c r="H432" s="25">
        <v>16.239999999999998</v>
      </c>
      <c r="I432" s="6">
        <v>1</v>
      </c>
      <c r="J432" s="25">
        <v>1.1399999999999999</v>
      </c>
      <c r="K432" s="25">
        <v>17.38</v>
      </c>
      <c r="L432" s="9">
        <v>1</v>
      </c>
      <c r="M432" s="39" t="str">
        <f t="shared" si="12"/>
        <v>Normal Transaction</v>
      </c>
    </row>
    <row r="433" spans="1:13" x14ac:dyDescent="0.35">
      <c r="A433" s="27">
        <v>432</v>
      </c>
      <c r="B433" s="2" t="s">
        <v>0</v>
      </c>
      <c r="C433" s="2" t="s">
        <v>14</v>
      </c>
      <c r="D433" s="2" t="s">
        <v>2</v>
      </c>
      <c r="E433" s="2" t="s">
        <v>3</v>
      </c>
      <c r="F433" s="9" t="s">
        <v>10</v>
      </c>
      <c r="G433" s="9" t="str">
        <f t="shared" si="13"/>
        <v>Stationery</v>
      </c>
      <c r="H433" s="25">
        <v>12.83</v>
      </c>
      <c r="I433" s="6">
        <v>5</v>
      </c>
      <c r="J433" s="25">
        <v>4.49</v>
      </c>
      <c r="K433" s="25">
        <v>68.64</v>
      </c>
      <c r="L433" s="9">
        <v>6</v>
      </c>
      <c r="M433" s="39" t="str">
        <f t="shared" si="12"/>
        <v>Normal Transaction</v>
      </c>
    </row>
    <row r="434" spans="1:13" x14ac:dyDescent="0.35">
      <c r="A434" s="27">
        <v>433</v>
      </c>
      <c r="B434" s="2" t="s">
        <v>6</v>
      </c>
      <c r="C434" s="2" t="s">
        <v>7</v>
      </c>
      <c r="D434" s="2" t="s">
        <v>8</v>
      </c>
      <c r="E434" s="2" t="s">
        <v>9</v>
      </c>
      <c r="F434" s="9" t="s">
        <v>4</v>
      </c>
      <c r="G434" s="9" t="str">
        <f t="shared" si="13"/>
        <v>Personal Care</v>
      </c>
      <c r="H434" s="25">
        <v>20.8</v>
      </c>
      <c r="I434" s="6">
        <v>15</v>
      </c>
      <c r="J434" s="25">
        <v>21.84</v>
      </c>
      <c r="K434" s="25">
        <v>333.84</v>
      </c>
      <c r="L434" s="9">
        <v>0</v>
      </c>
      <c r="M434" s="39" t="str">
        <f t="shared" si="12"/>
        <v>Normal Transaction</v>
      </c>
    </row>
    <row r="435" spans="1:13" x14ac:dyDescent="0.35">
      <c r="A435" s="27">
        <v>434</v>
      </c>
      <c r="B435" s="2" t="s">
        <v>6</v>
      </c>
      <c r="C435" s="2" t="s">
        <v>7</v>
      </c>
      <c r="D435" s="2" t="s">
        <v>8</v>
      </c>
      <c r="E435" s="2" t="s">
        <v>9</v>
      </c>
      <c r="F435" s="9" t="s">
        <v>17</v>
      </c>
      <c r="G435" s="9" t="str">
        <f t="shared" si="13"/>
        <v>Beverages</v>
      </c>
      <c r="H435" s="25">
        <v>13.78</v>
      </c>
      <c r="I435" s="6">
        <v>5</v>
      </c>
      <c r="J435" s="25">
        <v>4.82</v>
      </c>
      <c r="K435" s="25">
        <v>73.72</v>
      </c>
      <c r="L435" s="9">
        <v>0</v>
      </c>
      <c r="M435" s="39" t="str">
        <f t="shared" si="12"/>
        <v>Normal Transaction</v>
      </c>
    </row>
    <row r="436" spans="1:13" x14ac:dyDescent="0.35">
      <c r="A436" s="27">
        <v>435</v>
      </c>
      <c r="B436" s="2" t="s">
        <v>31</v>
      </c>
      <c r="C436" s="2" t="s">
        <v>1</v>
      </c>
      <c r="D436" s="2" t="s">
        <v>8</v>
      </c>
      <c r="E436" s="2" t="s">
        <v>9</v>
      </c>
      <c r="F436" s="9" t="s">
        <v>4</v>
      </c>
      <c r="G436" s="9" t="str">
        <f t="shared" si="13"/>
        <v>Personal Care</v>
      </c>
      <c r="H436" s="25">
        <v>17.32</v>
      </c>
      <c r="I436" s="6">
        <v>14</v>
      </c>
      <c r="J436" s="25">
        <v>16.97</v>
      </c>
      <c r="K436" s="25">
        <v>259.45</v>
      </c>
      <c r="L436" s="9">
        <v>0</v>
      </c>
      <c r="M436" s="39" t="str">
        <f t="shared" si="12"/>
        <v>Normal Transaction</v>
      </c>
    </row>
    <row r="437" spans="1:13" x14ac:dyDescent="0.35">
      <c r="A437" s="27">
        <v>436</v>
      </c>
      <c r="B437" s="2" t="s">
        <v>6</v>
      </c>
      <c r="C437" s="2" t="s">
        <v>7</v>
      </c>
      <c r="D437" s="2" t="s">
        <v>2</v>
      </c>
      <c r="E437" s="2" t="s">
        <v>3</v>
      </c>
      <c r="F437" s="9" t="s">
        <v>17</v>
      </c>
      <c r="G437" s="9" t="str">
        <f t="shared" si="13"/>
        <v>Beverages</v>
      </c>
      <c r="H437" s="25">
        <v>20.09</v>
      </c>
      <c r="I437" s="6">
        <v>8</v>
      </c>
      <c r="J437" s="25">
        <v>11.25</v>
      </c>
      <c r="K437" s="25">
        <v>171.97</v>
      </c>
      <c r="L437" s="9">
        <v>17</v>
      </c>
      <c r="M437" s="39" t="str">
        <f t="shared" si="12"/>
        <v>Normal Transaction</v>
      </c>
    </row>
    <row r="438" spans="1:13" x14ac:dyDescent="0.35">
      <c r="A438" s="27">
        <v>437</v>
      </c>
      <c r="B438" s="2" t="s">
        <v>6</v>
      </c>
      <c r="C438" s="2" t="s">
        <v>7</v>
      </c>
      <c r="D438" s="2" t="s">
        <v>2</v>
      </c>
      <c r="E438" s="2" t="s">
        <v>3</v>
      </c>
      <c r="F438" s="9" t="s">
        <v>15</v>
      </c>
      <c r="G438" s="9" t="str">
        <f t="shared" si="13"/>
        <v>Household</v>
      </c>
      <c r="H438" s="25">
        <v>13.92</v>
      </c>
      <c r="I438" s="6">
        <v>11</v>
      </c>
      <c r="J438" s="25">
        <v>10.72</v>
      </c>
      <c r="K438" s="25">
        <v>163.84</v>
      </c>
      <c r="L438" s="9">
        <v>16</v>
      </c>
      <c r="M438" s="39" t="str">
        <f t="shared" si="12"/>
        <v>Normal Transaction</v>
      </c>
    </row>
    <row r="439" spans="1:13" x14ac:dyDescent="0.35">
      <c r="A439" s="27">
        <v>438</v>
      </c>
      <c r="B439" s="2" t="s">
        <v>31</v>
      </c>
      <c r="C439" s="2" t="s">
        <v>1</v>
      </c>
      <c r="D439" s="2" t="s">
        <v>2</v>
      </c>
      <c r="E439" s="2" t="s">
        <v>3</v>
      </c>
      <c r="F439" s="9" t="s">
        <v>4</v>
      </c>
      <c r="G439" s="9" t="str">
        <f t="shared" si="13"/>
        <v>Personal Care</v>
      </c>
      <c r="H439" s="25">
        <v>15.48</v>
      </c>
      <c r="I439" s="6">
        <v>3</v>
      </c>
      <c r="J439" s="25">
        <v>3.25</v>
      </c>
      <c r="K439" s="25">
        <v>49.69</v>
      </c>
      <c r="L439" s="9">
        <v>4</v>
      </c>
      <c r="M439" s="39" t="str">
        <f t="shared" si="12"/>
        <v>Normal Transaction</v>
      </c>
    </row>
    <row r="440" spans="1:13" x14ac:dyDescent="0.35">
      <c r="A440" s="27">
        <v>439</v>
      </c>
      <c r="B440" s="2" t="s">
        <v>31</v>
      </c>
      <c r="C440" s="2" t="s">
        <v>1</v>
      </c>
      <c r="D440" s="2" t="s">
        <v>8</v>
      </c>
      <c r="E440" s="2" t="s">
        <v>9</v>
      </c>
      <c r="F440" s="9" t="s">
        <v>17</v>
      </c>
      <c r="G440" s="9" t="str">
        <f t="shared" si="13"/>
        <v>Beverages</v>
      </c>
      <c r="H440" s="25">
        <v>8.36</v>
      </c>
      <c r="I440" s="6">
        <v>8</v>
      </c>
      <c r="J440" s="25">
        <v>4.68</v>
      </c>
      <c r="K440" s="25">
        <v>71.56</v>
      </c>
      <c r="L440" s="9">
        <v>0</v>
      </c>
      <c r="M440" s="39" t="str">
        <f t="shared" si="12"/>
        <v>Normal Transaction</v>
      </c>
    </row>
    <row r="441" spans="1:13" x14ac:dyDescent="0.35">
      <c r="A441" s="27">
        <v>440</v>
      </c>
      <c r="B441" s="2" t="s">
        <v>0</v>
      </c>
      <c r="C441" s="2" t="s">
        <v>14</v>
      </c>
      <c r="D441" s="2" t="s">
        <v>2</v>
      </c>
      <c r="E441" s="2" t="s">
        <v>9</v>
      </c>
      <c r="F441" s="9" t="s">
        <v>10</v>
      </c>
      <c r="G441" s="9" t="str">
        <f t="shared" si="13"/>
        <v>Stationery</v>
      </c>
      <c r="H441" s="25">
        <v>6.09</v>
      </c>
      <c r="I441" s="6">
        <v>3</v>
      </c>
      <c r="J441" s="25">
        <v>1.28</v>
      </c>
      <c r="K441" s="25">
        <v>19.55</v>
      </c>
      <c r="L441" s="9">
        <v>1</v>
      </c>
      <c r="M441" s="39" t="str">
        <f t="shared" si="12"/>
        <v>Normal Transaction</v>
      </c>
    </row>
    <row r="442" spans="1:13" x14ac:dyDescent="0.35">
      <c r="A442" s="27">
        <v>441</v>
      </c>
      <c r="B442" s="2" t="s">
        <v>0</v>
      </c>
      <c r="C442" s="2" t="s">
        <v>14</v>
      </c>
      <c r="D442" s="2" t="s">
        <v>8</v>
      </c>
      <c r="E442" s="2" t="s">
        <v>3</v>
      </c>
      <c r="F442" s="9" t="s">
        <v>4</v>
      </c>
      <c r="G442" s="9" t="str">
        <f t="shared" si="13"/>
        <v>Personal Care</v>
      </c>
      <c r="H442" s="25">
        <v>16.82</v>
      </c>
      <c r="I442" s="6">
        <v>3</v>
      </c>
      <c r="J442" s="25">
        <v>3.53</v>
      </c>
      <c r="K442" s="25">
        <v>53.99</v>
      </c>
      <c r="L442" s="9">
        <v>0</v>
      </c>
      <c r="M442" s="39" t="str">
        <f t="shared" si="12"/>
        <v>Normal Transaction</v>
      </c>
    </row>
    <row r="443" spans="1:13" x14ac:dyDescent="0.35">
      <c r="A443" s="27">
        <v>442</v>
      </c>
      <c r="B443" s="2" t="s">
        <v>0</v>
      </c>
      <c r="C443" s="2" t="s">
        <v>14</v>
      </c>
      <c r="D443" s="2" t="s">
        <v>8</v>
      </c>
      <c r="E443" s="2" t="s">
        <v>9</v>
      </c>
      <c r="F443" s="9" t="s">
        <v>4</v>
      </c>
      <c r="G443" s="9" t="str">
        <f t="shared" si="13"/>
        <v>Personal Care</v>
      </c>
      <c r="H443" s="25">
        <v>8.01</v>
      </c>
      <c r="I443" s="6">
        <v>14</v>
      </c>
      <c r="J443" s="25">
        <v>7.85</v>
      </c>
      <c r="K443" s="25">
        <v>119.99</v>
      </c>
      <c r="L443" s="9">
        <v>0</v>
      </c>
      <c r="M443" s="39" t="str">
        <f t="shared" si="12"/>
        <v>Normal Transaction</v>
      </c>
    </row>
    <row r="444" spans="1:13" x14ac:dyDescent="0.35">
      <c r="A444" s="27">
        <v>443</v>
      </c>
      <c r="B444" s="2" t="s">
        <v>0</v>
      </c>
      <c r="C444" s="2" t="s">
        <v>14</v>
      </c>
      <c r="D444" s="2" t="s">
        <v>2</v>
      </c>
      <c r="E444" s="2" t="s">
        <v>9</v>
      </c>
      <c r="F444" s="9" t="s">
        <v>10</v>
      </c>
      <c r="G444" s="9" t="str">
        <f t="shared" si="13"/>
        <v>Stationery</v>
      </c>
      <c r="H444" s="25">
        <v>12.01</v>
      </c>
      <c r="I444" s="6">
        <v>9</v>
      </c>
      <c r="J444" s="25">
        <v>7.57</v>
      </c>
      <c r="K444" s="25">
        <v>115.66</v>
      </c>
      <c r="L444" s="9">
        <v>11</v>
      </c>
      <c r="M444" s="39" t="str">
        <f t="shared" si="12"/>
        <v>Normal Transaction</v>
      </c>
    </row>
    <row r="445" spans="1:13" x14ac:dyDescent="0.35">
      <c r="A445" s="27">
        <v>444</v>
      </c>
      <c r="B445" s="2" t="s">
        <v>6</v>
      </c>
      <c r="C445" s="2" t="s">
        <v>7</v>
      </c>
      <c r="D445" s="2" t="s">
        <v>8</v>
      </c>
      <c r="E445" s="2" t="s">
        <v>9</v>
      </c>
      <c r="F445" s="9" t="s">
        <v>12</v>
      </c>
      <c r="G445" s="9" t="str">
        <f t="shared" si="13"/>
        <v>Fruits</v>
      </c>
      <c r="H445" s="25">
        <v>8.19</v>
      </c>
      <c r="I445" s="6">
        <v>8</v>
      </c>
      <c r="J445" s="25">
        <v>4.59</v>
      </c>
      <c r="K445" s="25">
        <v>70.11</v>
      </c>
      <c r="L445" s="9">
        <v>0</v>
      </c>
      <c r="M445" s="39" t="str">
        <f t="shared" si="12"/>
        <v>Normal Transaction</v>
      </c>
    </row>
    <row r="446" spans="1:13" x14ac:dyDescent="0.35">
      <c r="A446" s="27">
        <v>445</v>
      </c>
      <c r="B446" s="2" t="s">
        <v>6</v>
      </c>
      <c r="C446" s="2" t="s">
        <v>7</v>
      </c>
      <c r="D446" s="2" t="s">
        <v>2</v>
      </c>
      <c r="E446" s="2" t="s">
        <v>9</v>
      </c>
      <c r="F446" s="9" t="s">
        <v>4</v>
      </c>
      <c r="G446" s="9" t="str">
        <f t="shared" si="13"/>
        <v>Personal Care</v>
      </c>
      <c r="H446" s="25">
        <v>16.37</v>
      </c>
      <c r="I446" s="6">
        <v>2</v>
      </c>
      <c r="J446" s="25">
        <v>2.29</v>
      </c>
      <c r="K446" s="25">
        <v>35.03</v>
      </c>
      <c r="L446" s="9">
        <v>3</v>
      </c>
      <c r="M446" s="39" t="str">
        <f t="shared" si="12"/>
        <v>Normal Transaction</v>
      </c>
    </row>
    <row r="447" spans="1:13" x14ac:dyDescent="0.35">
      <c r="A447" s="27">
        <v>446</v>
      </c>
      <c r="B447" s="2" t="s">
        <v>6</v>
      </c>
      <c r="C447" s="2" t="s">
        <v>7</v>
      </c>
      <c r="D447" s="2" t="s">
        <v>8</v>
      </c>
      <c r="E447" s="2" t="s">
        <v>3</v>
      </c>
      <c r="F447" s="9" t="s">
        <v>4</v>
      </c>
      <c r="G447" s="9" t="str">
        <f t="shared" si="13"/>
        <v>Personal Care</v>
      </c>
      <c r="H447" s="25">
        <v>10.61</v>
      </c>
      <c r="I447" s="6">
        <v>20</v>
      </c>
      <c r="J447" s="25">
        <v>14.85</v>
      </c>
      <c r="K447" s="25">
        <v>227.05</v>
      </c>
      <c r="L447" s="9">
        <v>0</v>
      </c>
      <c r="M447" s="39" t="str">
        <f t="shared" si="12"/>
        <v>Normal Transaction</v>
      </c>
    </row>
    <row r="448" spans="1:13" x14ac:dyDescent="0.35">
      <c r="A448" s="27">
        <v>447</v>
      </c>
      <c r="B448" s="2" t="s">
        <v>31</v>
      </c>
      <c r="C448" s="2" t="s">
        <v>1</v>
      </c>
      <c r="D448" s="2" t="s">
        <v>2</v>
      </c>
      <c r="E448" s="2" t="s">
        <v>3</v>
      </c>
      <c r="F448" s="9" t="s">
        <v>10</v>
      </c>
      <c r="G448" s="9" t="str">
        <f t="shared" si="13"/>
        <v>Stationery</v>
      </c>
      <c r="H448" s="25">
        <v>20.91</v>
      </c>
      <c r="I448" s="6">
        <v>14</v>
      </c>
      <c r="J448" s="25">
        <v>20.49</v>
      </c>
      <c r="K448" s="25">
        <v>313.23</v>
      </c>
      <c r="L448" s="9">
        <v>31</v>
      </c>
      <c r="M448" s="39" t="str">
        <f t="shared" si="12"/>
        <v>Normal Transaction</v>
      </c>
    </row>
    <row r="449" spans="1:13" x14ac:dyDescent="0.35">
      <c r="A449" s="27">
        <v>448</v>
      </c>
      <c r="B449" s="2" t="s">
        <v>31</v>
      </c>
      <c r="C449" s="2" t="s">
        <v>1</v>
      </c>
      <c r="D449" s="2" t="s">
        <v>8</v>
      </c>
      <c r="E449" s="2" t="s">
        <v>3</v>
      </c>
      <c r="F449" s="9" t="s">
        <v>12</v>
      </c>
      <c r="G449" s="9" t="str">
        <f t="shared" si="13"/>
        <v>Fruits</v>
      </c>
      <c r="H449" s="25">
        <v>15.32</v>
      </c>
      <c r="I449" s="6">
        <v>9</v>
      </c>
      <c r="J449" s="25">
        <v>9.65</v>
      </c>
      <c r="K449" s="25">
        <v>147.53</v>
      </c>
      <c r="L449" s="9">
        <v>0</v>
      </c>
      <c r="M449" s="39" t="str">
        <f t="shared" si="12"/>
        <v>Normal Transaction</v>
      </c>
    </row>
    <row r="450" spans="1:13" x14ac:dyDescent="0.35">
      <c r="A450" s="27">
        <v>449</v>
      </c>
      <c r="B450" s="2" t="s">
        <v>6</v>
      </c>
      <c r="C450" s="2" t="s">
        <v>7</v>
      </c>
      <c r="D450" s="2" t="s">
        <v>2</v>
      </c>
      <c r="E450" s="2" t="s">
        <v>9</v>
      </c>
      <c r="F450" s="9" t="s">
        <v>17</v>
      </c>
      <c r="G450" s="9" t="str">
        <f t="shared" si="13"/>
        <v>Beverages</v>
      </c>
      <c r="H450" s="25">
        <v>8.89</v>
      </c>
      <c r="I450" s="6">
        <v>12</v>
      </c>
      <c r="J450" s="25">
        <v>7.47</v>
      </c>
      <c r="K450" s="25">
        <v>114.15</v>
      </c>
      <c r="L450" s="9">
        <v>11</v>
      </c>
      <c r="M450" s="39" t="str">
        <f t="shared" ref="M450:M513" si="14">IF(K450 &gt; 382.93, "Outlier (Extreme Spend)", "Normal Transaction")</f>
        <v>Normal Transaction</v>
      </c>
    </row>
    <row r="451" spans="1:13" x14ac:dyDescent="0.35">
      <c r="A451" s="27">
        <v>450</v>
      </c>
      <c r="B451" s="2" t="s">
        <v>6</v>
      </c>
      <c r="C451" s="2" t="s">
        <v>7</v>
      </c>
      <c r="D451" s="2" t="s">
        <v>8</v>
      </c>
      <c r="E451" s="2" t="s">
        <v>3</v>
      </c>
      <c r="F451" s="9" t="s">
        <v>12</v>
      </c>
      <c r="G451" s="9" t="str">
        <f t="shared" ref="G451:G514" si="15">_xlfn.XLOOKUP(F451,$Q$2:$Q$6,$R$2:$R$6,"Unknown")</f>
        <v>Fruits</v>
      </c>
      <c r="H451" s="25">
        <v>19.55</v>
      </c>
      <c r="I451" s="6">
        <v>15</v>
      </c>
      <c r="J451" s="25">
        <v>20.53</v>
      </c>
      <c r="K451" s="25">
        <v>313.77999999999997</v>
      </c>
      <c r="L451" s="9">
        <v>0</v>
      </c>
      <c r="M451" s="39" t="str">
        <f t="shared" si="14"/>
        <v>Normal Transaction</v>
      </c>
    </row>
    <row r="452" spans="1:13" x14ac:dyDescent="0.35">
      <c r="A452" s="27">
        <v>451</v>
      </c>
      <c r="B452" s="2" t="s">
        <v>31</v>
      </c>
      <c r="C452" s="2" t="s">
        <v>1</v>
      </c>
      <c r="D452" s="2" t="s">
        <v>8</v>
      </c>
      <c r="E452" s="2" t="s">
        <v>9</v>
      </c>
      <c r="F452" s="9" t="s">
        <v>10</v>
      </c>
      <c r="G452" s="9" t="str">
        <f t="shared" si="15"/>
        <v>Stationery</v>
      </c>
      <c r="H452" s="25">
        <v>11.16</v>
      </c>
      <c r="I452" s="6">
        <v>10</v>
      </c>
      <c r="J452" s="25">
        <v>7.81</v>
      </c>
      <c r="K452" s="25">
        <v>119.41</v>
      </c>
      <c r="L452" s="9">
        <v>0</v>
      </c>
      <c r="M452" s="39" t="str">
        <f t="shared" si="14"/>
        <v>Normal Transaction</v>
      </c>
    </row>
    <row r="453" spans="1:13" x14ac:dyDescent="0.35">
      <c r="A453" s="27">
        <v>452</v>
      </c>
      <c r="B453" s="2" t="s">
        <v>31</v>
      </c>
      <c r="C453" s="2" t="s">
        <v>1</v>
      </c>
      <c r="D453" s="2" t="s">
        <v>8</v>
      </c>
      <c r="E453" s="2" t="s">
        <v>3</v>
      </c>
      <c r="F453" s="9" t="s">
        <v>12</v>
      </c>
      <c r="G453" s="9" t="str">
        <f t="shared" si="15"/>
        <v>Fruits</v>
      </c>
      <c r="H453" s="25">
        <v>16.43</v>
      </c>
      <c r="I453" s="6">
        <v>5</v>
      </c>
      <c r="J453" s="25">
        <v>5.75</v>
      </c>
      <c r="K453" s="25">
        <v>87.9</v>
      </c>
      <c r="L453" s="9">
        <v>0</v>
      </c>
      <c r="M453" s="39" t="str">
        <f t="shared" si="14"/>
        <v>Normal Transaction</v>
      </c>
    </row>
    <row r="454" spans="1:13" x14ac:dyDescent="0.35">
      <c r="A454" s="27">
        <v>453</v>
      </c>
      <c r="B454" s="2" t="s">
        <v>31</v>
      </c>
      <c r="C454" s="2" t="s">
        <v>1</v>
      </c>
      <c r="D454" s="2" t="s">
        <v>8</v>
      </c>
      <c r="E454" s="2" t="s">
        <v>3</v>
      </c>
      <c r="F454" s="9" t="s">
        <v>15</v>
      </c>
      <c r="G454" s="9" t="str">
        <f t="shared" si="15"/>
        <v>Household</v>
      </c>
      <c r="H454" s="25">
        <v>16.77</v>
      </c>
      <c r="I454" s="6">
        <v>3</v>
      </c>
      <c r="J454" s="25">
        <v>3.52</v>
      </c>
      <c r="K454" s="25">
        <v>53.83</v>
      </c>
      <c r="L454" s="9">
        <v>0</v>
      </c>
      <c r="M454" s="39" t="str">
        <f t="shared" si="14"/>
        <v>Normal Transaction</v>
      </c>
    </row>
    <row r="455" spans="1:13" x14ac:dyDescent="0.35">
      <c r="A455" s="27">
        <v>454</v>
      </c>
      <c r="B455" s="2" t="s">
        <v>6</v>
      </c>
      <c r="C455" s="2" t="s">
        <v>7</v>
      </c>
      <c r="D455" s="2" t="s">
        <v>8</v>
      </c>
      <c r="E455" s="2" t="s">
        <v>3</v>
      </c>
      <c r="F455" s="9" t="s">
        <v>12</v>
      </c>
      <c r="G455" s="9" t="str">
        <f t="shared" si="15"/>
        <v>Fruits</v>
      </c>
      <c r="H455" s="25">
        <v>7.23</v>
      </c>
      <c r="I455" s="6">
        <v>4</v>
      </c>
      <c r="J455" s="25">
        <v>2.02</v>
      </c>
      <c r="K455" s="25">
        <v>30.94</v>
      </c>
      <c r="L455" s="9">
        <v>0</v>
      </c>
      <c r="M455" s="39" t="str">
        <f t="shared" si="14"/>
        <v>Normal Transaction</v>
      </c>
    </row>
    <row r="456" spans="1:13" x14ac:dyDescent="0.35">
      <c r="A456" s="27">
        <v>455</v>
      </c>
      <c r="B456" s="2" t="s">
        <v>0</v>
      </c>
      <c r="C456" s="2" t="s">
        <v>14</v>
      </c>
      <c r="D456" s="2" t="s">
        <v>2</v>
      </c>
      <c r="E456" s="2" t="s">
        <v>3</v>
      </c>
      <c r="F456" s="9" t="s">
        <v>15</v>
      </c>
      <c r="G456" s="9" t="str">
        <f t="shared" si="15"/>
        <v>Household</v>
      </c>
      <c r="H456" s="25">
        <v>9.64</v>
      </c>
      <c r="I456" s="6">
        <v>16</v>
      </c>
      <c r="J456" s="25">
        <v>10.8</v>
      </c>
      <c r="K456" s="25">
        <v>165.04</v>
      </c>
      <c r="L456" s="9">
        <v>16</v>
      </c>
      <c r="M456" s="39" t="str">
        <f t="shared" si="14"/>
        <v>Normal Transaction</v>
      </c>
    </row>
    <row r="457" spans="1:13" x14ac:dyDescent="0.35">
      <c r="A457" s="27">
        <v>456</v>
      </c>
      <c r="B457" s="2" t="s">
        <v>6</v>
      </c>
      <c r="C457" s="2" t="s">
        <v>7</v>
      </c>
      <c r="D457" s="2" t="s">
        <v>8</v>
      </c>
      <c r="E457" s="2" t="s">
        <v>9</v>
      </c>
      <c r="F457" s="9" t="s">
        <v>17</v>
      </c>
      <c r="G457" s="9" t="str">
        <f t="shared" si="15"/>
        <v>Beverages</v>
      </c>
      <c r="H457" s="25">
        <v>13.12</v>
      </c>
      <c r="I457" s="6">
        <v>8</v>
      </c>
      <c r="J457" s="25">
        <v>7.35</v>
      </c>
      <c r="K457" s="25">
        <v>112.31</v>
      </c>
      <c r="L457" s="9">
        <v>0</v>
      </c>
      <c r="M457" s="39" t="str">
        <f t="shared" si="14"/>
        <v>Normal Transaction</v>
      </c>
    </row>
    <row r="458" spans="1:13" x14ac:dyDescent="0.35">
      <c r="A458" s="27">
        <v>457</v>
      </c>
      <c r="B458" s="2" t="s">
        <v>6</v>
      </c>
      <c r="C458" s="2" t="s">
        <v>7</v>
      </c>
      <c r="D458" s="2" t="s">
        <v>2</v>
      </c>
      <c r="E458" s="2" t="s">
        <v>3</v>
      </c>
      <c r="F458" s="9" t="s">
        <v>12</v>
      </c>
      <c r="G458" s="9" t="str">
        <f t="shared" si="15"/>
        <v>Fruits</v>
      </c>
      <c r="H458" s="25">
        <v>13.3</v>
      </c>
      <c r="I458" s="6">
        <v>3</v>
      </c>
      <c r="J458" s="25">
        <v>2.79</v>
      </c>
      <c r="K458" s="25">
        <v>42.69</v>
      </c>
      <c r="L458" s="9">
        <v>4</v>
      </c>
      <c r="M458" s="39" t="str">
        <f t="shared" si="14"/>
        <v>Normal Transaction</v>
      </c>
    </row>
    <row r="459" spans="1:13" x14ac:dyDescent="0.35">
      <c r="A459" s="27">
        <v>458</v>
      </c>
      <c r="B459" s="2" t="s">
        <v>31</v>
      </c>
      <c r="C459" s="2" t="s">
        <v>1</v>
      </c>
      <c r="D459" s="2" t="s">
        <v>2</v>
      </c>
      <c r="E459" s="2" t="s">
        <v>3</v>
      </c>
      <c r="F459" s="9" t="s">
        <v>12</v>
      </c>
      <c r="G459" s="9" t="str">
        <f t="shared" si="15"/>
        <v>Fruits</v>
      </c>
      <c r="H459" s="25">
        <v>9.6</v>
      </c>
      <c r="I459" s="6">
        <v>14</v>
      </c>
      <c r="J459" s="25">
        <v>9.41</v>
      </c>
      <c r="K459" s="25">
        <v>143.81</v>
      </c>
      <c r="L459" s="9">
        <v>14</v>
      </c>
      <c r="M459" s="39" t="str">
        <f t="shared" si="14"/>
        <v>Normal Transaction</v>
      </c>
    </row>
    <row r="460" spans="1:13" x14ac:dyDescent="0.35">
      <c r="A460" s="27">
        <v>459</v>
      </c>
      <c r="B460" s="2" t="s">
        <v>31</v>
      </c>
      <c r="C460" s="2" t="s">
        <v>1</v>
      </c>
      <c r="D460" s="2" t="s">
        <v>8</v>
      </c>
      <c r="E460" s="2" t="s">
        <v>3</v>
      </c>
      <c r="F460" s="9" t="s">
        <v>12</v>
      </c>
      <c r="G460" s="9" t="str">
        <f t="shared" si="15"/>
        <v>Fruits</v>
      </c>
      <c r="H460" s="25">
        <v>4.37</v>
      </c>
      <c r="I460" s="6">
        <v>15</v>
      </c>
      <c r="J460" s="25">
        <v>4.59</v>
      </c>
      <c r="K460" s="25">
        <v>70.14</v>
      </c>
      <c r="L460" s="9">
        <v>0</v>
      </c>
      <c r="M460" s="39" t="str">
        <f t="shared" si="14"/>
        <v>Normal Transaction</v>
      </c>
    </row>
    <row r="461" spans="1:13" x14ac:dyDescent="0.35">
      <c r="A461" s="27">
        <v>460</v>
      </c>
      <c r="B461" s="2" t="s">
        <v>31</v>
      </c>
      <c r="C461" s="2" t="s">
        <v>1</v>
      </c>
      <c r="D461" s="2" t="s">
        <v>8</v>
      </c>
      <c r="E461" s="2" t="s">
        <v>9</v>
      </c>
      <c r="F461" s="9" t="s">
        <v>4</v>
      </c>
      <c r="G461" s="9" t="str">
        <f t="shared" si="15"/>
        <v>Personal Care</v>
      </c>
      <c r="H461" s="25">
        <v>9.94</v>
      </c>
      <c r="I461" s="6">
        <v>1</v>
      </c>
      <c r="J461" s="25">
        <v>0.7</v>
      </c>
      <c r="K461" s="25">
        <v>10.64</v>
      </c>
      <c r="L461" s="9">
        <v>0</v>
      </c>
      <c r="M461" s="39" t="str">
        <f t="shared" si="14"/>
        <v>Normal Transaction</v>
      </c>
    </row>
    <row r="462" spans="1:13" x14ac:dyDescent="0.35">
      <c r="A462" s="27">
        <v>461</v>
      </c>
      <c r="B462" s="2" t="s">
        <v>31</v>
      </c>
      <c r="C462" s="2" t="s">
        <v>1</v>
      </c>
      <c r="D462" s="2" t="s">
        <v>8</v>
      </c>
      <c r="E462" s="2" t="s">
        <v>9</v>
      </c>
      <c r="F462" s="9" t="s">
        <v>17</v>
      </c>
      <c r="G462" s="9" t="str">
        <f t="shared" si="15"/>
        <v>Beverages</v>
      </c>
      <c r="H462" s="25">
        <v>4.38</v>
      </c>
      <c r="I462" s="6">
        <v>11</v>
      </c>
      <c r="J462" s="25">
        <v>3.37</v>
      </c>
      <c r="K462" s="25">
        <v>51.55</v>
      </c>
      <c r="L462" s="9">
        <v>0</v>
      </c>
      <c r="M462" s="39" t="str">
        <f t="shared" si="14"/>
        <v>Normal Transaction</v>
      </c>
    </row>
    <row r="463" spans="1:13" x14ac:dyDescent="0.35">
      <c r="A463" s="27">
        <v>462</v>
      </c>
      <c r="B463" s="2" t="s">
        <v>6</v>
      </c>
      <c r="C463" s="2" t="s">
        <v>7</v>
      </c>
      <c r="D463" s="2" t="s">
        <v>2</v>
      </c>
      <c r="E463" s="2" t="s">
        <v>3</v>
      </c>
      <c r="F463" s="9" t="s">
        <v>12</v>
      </c>
      <c r="G463" s="9" t="str">
        <f t="shared" si="15"/>
        <v>Fruits</v>
      </c>
      <c r="H463" s="25">
        <v>10.18</v>
      </c>
      <c r="I463" s="6">
        <v>9</v>
      </c>
      <c r="J463" s="25">
        <v>6.41</v>
      </c>
      <c r="K463" s="25">
        <v>98.03</v>
      </c>
      <c r="L463" s="9">
        <v>9</v>
      </c>
      <c r="M463" s="39" t="str">
        <f t="shared" si="14"/>
        <v>Normal Transaction</v>
      </c>
    </row>
    <row r="464" spans="1:13" x14ac:dyDescent="0.35">
      <c r="A464" s="27">
        <v>463</v>
      </c>
      <c r="B464" s="2" t="s">
        <v>6</v>
      </c>
      <c r="C464" s="2" t="s">
        <v>7</v>
      </c>
      <c r="D464" s="2" t="s">
        <v>8</v>
      </c>
      <c r="E464" s="2" t="s">
        <v>9</v>
      </c>
      <c r="F464" s="9" t="s">
        <v>17</v>
      </c>
      <c r="G464" s="9" t="str">
        <f t="shared" si="15"/>
        <v>Beverages</v>
      </c>
      <c r="H464" s="25">
        <v>12.64</v>
      </c>
      <c r="I464" s="6">
        <v>1</v>
      </c>
      <c r="J464" s="25">
        <v>0.88</v>
      </c>
      <c r="K464" s="25">
        <v>13.52</v>
      </c>
      <c r="L464" s="9">
        <v>0</v>
      </c>
      <c r="M464" s="39" t="str">
        <f t="shared" si="14"/>
        <v>Normal Transaction</v>
      </c>
    </row>
    <row r="465" spans="1:13" x14ac:dyDescent="0.35">
      <c r="A465" s="27">
        <v>464</v>
      </c>
      <c r="B465" s="2" t="s">
        <v>6</v>
      </c>
      <c r="C465" s="2" t="s">
        <v>7</v>
      </c>
      <c r="D465" s="2" t="s">
        <v>8</v>
      </c>
      <c r="E465" s="2" t="s">
        <v>3</v>
      </c>
      <c r="F465" s="9" t="s">
        <v>12</v>
      </c>
      <c r="G465" s="9" t="str">
        <f t="shared" si="15"/>
        <v>Fruits</v>
      </c>
      <c r="H465" s="25">
        <v>12.9</v>
      </c>
      <c r="I465" s="6">
        <v>11</v>
      </c>
      <c r="J465" s="25">
        <v>9.93</v>
      </c>
      <c r="K465" s="25">
        <v>151.83000000000001</v>
      </c>
      <c r="L465" s="9">
        <v>0</v>
      </c>
      <c r="M465" s="39" t="str">
        <f t="shared" si="14"/>
        <v>Normal Transaction</v>
      </c>
    </row>
    <row r="466" spans="1:13" x14ac:dyDescent="0.35">
      <c r="A466" s="27">
        <v>465</v>
      </c>
      <c r="B466" s="2" t="s">
        <v>6</v>
      </c>
      <c r="C466" s="2" t="s">
        <v>7</v>
      </c>
      <c r="D466" s="2" t="s">
        <v>2</v>
      </c>
      <c r="E466" s="2" t="s">
        <v>9</v>
      </c>
      <c r="F466" s="9" t="s">
        <v>17</v>
      </c>
      <c r="G466" s="9" t="str">
        <f t="shared" si="15"/>
        <v>Beverages</v>
      </c>
      <c r="H466" s="25">
        <v>17.27</v>
      </c>
      <c r="I466" s="6">
        <v>19</v>
      </c>
      <c r="J466" s="25">
        <v>22.97</v>
      </c>
      <c r="K466" s="25">
        <v>351.1</v>
      </c>
      <c r="L466" s="9">
        <v>35</v>
      </c>
      <c r="M466" s="39" t="str">
        <f t="shared" si="14"/>
        <v>Normal Transaction</v>
      </c>
    </row>
    <row r="467" spans="1:13" x14ac:dyDescent="0.35">
      <c r="A467" s="27">
        <v>466</v>
      </c>
      <c r="B467" s="2" t="s">
        <v>6</v>
      </c>
      <c r="C467" s="2" t="s">
        <v>7</v>
      </c>
      <c r="D467" s="2" t="s">
        <v>2</v>
      </c>
      <c r="E467" s="2" t="s">
        <v>3</v>
      </c>
      <c r="F467" s="9" t="s">
        <v>4</v>
      </c>
      <c r="G467" s="9" t="str">
        <f t="shared" si="15"/>
        <v>Personal Care</v>
      </c>
      <c r="H467" s="25">
        <v>18.14</v>
      </c>
      <c r="I467" s="6">
        <v>6</v>
      </c>
      <c r="J467" s="25">
        <v>7.62</v>
      </c>
      <c r="K467" s="25">
        <v>116.46</v>
      </c>
      <c r="L467" s="9">
        <v>11</v>
      </c>
      <c r="M467" s="39" t="str">
        <f t="shared" si="14"/>
        <v>Normal Transaction</v>
      </c>
    </row>
    <row r="468" spans="1:13" x14ac:dyDescent="0.35">
      <c r="A468" s="27">
        <v>467</v>
      </c>
      <c r="B468" s="2" t="s">
        <v>6</v>
      </c>
      <c r="C468" s="2" t="s">
        <v>7</v>
      </c>
      <c r="D468" s="2" t="s">
        <v>2</v>
      </c>
      <c r="E468" s="2" t="s">
        <v>9</v>
      </c>
      <c r="F468" s="9" t="s">
        <v>17</v>
      </c>
      <c r="G468" s="9" t="str">
        <f t="shared" si="15"/>
        <v>Beverages</v>
      </c>
      <c r="H468" s="25">
        <v>19.87</v>
      </c>
      <c r="I468" s="6">
        <v>7</v>
      </c>
      <c r="J468" s="25">
        <v>9.74</v>
      </c>
      <c r="K468" s="25">
        <v>148.83000000000001</v>
      </c>
      <c r="L468" s="9">
        <v>14</v>
      </c>
      <c r="M468" s="39" t="str">
        <f t="shared" si="14"/>
        <v>Normal Transaction</v>
      </c>
    </row>
    <row r="469" spans="1:13" x14ac:dyDescent="0.35">
      <c r="A469" s="27">
        <v>468</v>
      </c>
      <c r="B469" s="2" t="s">
        <v>6</v>
      </c>
      <c r="C469" s="2" t="s">
        <v>7</v>
      </c>
      <c r="D469" s="2" t="s">
        <v>8</v>
      </c>
      <c r="E469" s="2" t="s">
        <v>9</v>
      </c>
      <c r="F469" s="9" t="s">
        <v>17</v>
      </c>
      <c r="G469" s="9" t="str">
        <f t="shared" si="15"/>
        <v>Beverages</v>
      </c>
      <c r="H469" s="25">
        <v>10.5</v>
      </c>
      <c r="I469" s="6">
        <v>7</v>
      </c>
      <c r="J469" s="25">
        <v>5.15</v>
      </c>
      <c r="K469" s="25">
        <v>78.650000000000006</v>
      </c>
      <c r="L469" s="9">
        <v>0</v>
      </c>
      <c r="M469" s="39" t="str">
        <f t="shared" si="14"/>
        <v>Normal Transaction</v>
      </c>
    </row>
    <row r="470" spans="1:13" x14ac:dyDescent="0.35">
      <c r="A470" s="27">
        <v>469</v>
      </c>
      <c r="B470" s="2" t="s">
        <v>0</v>
      </c>
      <c r="C470" s="2" t="s">
        <v>14</v>
      </c>
      <c r="D470" s="2" t="s">
        <v>8</v>
      </c>
      <c r="E470" s="2" t="s">
        <v>3</v>
      </c>
      <c r="F470" s="9" t="s">
        <v>10</v>
      </c>
      <c r="G470" s="9" t="str">
        <f t="shared" si="15"/>
        <v>Stationery</v>
      </c>
      <c r="H470" s="25">
        <v>15.98</v>
      </c>
      <c r="I470" s="6">
        <v>6</v>
      </c>
      <c r="J470" s="25">
        <v>6.71</v>
      </c>
      <c r="K470" s="25">
        <v>102.59</v>
      </c>
      <c r="L470" s="9">
        <v>0</v>
      </c>
      <c r="M470" s="39" t="str">
        <f t="shared" si="14"/>
        <v>Normal Transaction</v>
      </c>
    </row>
    <row r="471" spans="1:13" x14ac:dyDescent="0.35">
      <c r="A471" s="27">
        <v>470</v>
      </c>
      <c r="B471" s="2" t="s">
        <v>6</v>
      </c>
      <c r="C471" s="2" t="s">
        <v>7</v>
      </c>
      <c r="D471" s="2" t="s">
        <v>8</v>
      </c>
      <c r="E471" s="2" t="s">
        <v>9</v>
      </c>
      <c r="F471" s="9" t="s">
        <v>10</v>
      </c>
      <c r="G471" s="9" t="str">
        <f t="shared" si="15"/>
        <v>Stationery</v>
      </c>
      <c r="H471" s="25">
        <v>2.97</v>
      </c>
      <c r="I471" s="6">
        <v>1</v>
      </c>
      <c r="J471" s="25">
        <v>0.21</v>
      </c>
      <c r="K471" s="25">
        <v>3.18</v>
      </c>
      <c r="L471" s="9">
        <v>0</v>
      </c>
      <c r="M471" s="39" t="str">
        <f t="shared" si="14"/>
        <v>Normal Transaction</v>
      </c>
    </row>
    <row r="472" spans="1:13" x14ac:dyDescent="0.35">
      <c r="A472" s="27">
        <v>471</v>
      </c>
      <c r="B472" s="2" t="s">
        <v>0</v>
      </c>
      <c r="C472" s="2" t="s">
        <v>14</v>
      </c>
      <c r="D472" s="2" t="s">
        <v>2</v>
      </c>
      <c r="E472" s="2" t="s">
        <v>9</v>
      </c>
      <c r="F472" s="9" t="s">
        <v>10</v>
      </c>
      <c r="G472" s="9" t="str">
        <f t="shared" si="15"/>
        <v>Stationery</v>
      </c>
      <c r="H472" s="25">
        <v>1.52</v>
      </c>
      <c r="I472" s="6">
        <v>8</v>
      </c>
      <c r="J472" s="25">
        <v>0.85</v>
      </c>
      <c r="K472" s="25">
        <v>13.01</v>
      </c>
      <c r="L472" s="9">
        <v>1</v>
      </c>
      <c r="M472" s="39" t="str">
        <f t="shared" si="14"/>
        <v>Normal Transaction</v>
      </c>
    </row>
    <row r="473" spans="1:13" x14ac:dyDescent="0.35">
      <c r="A473" s="27">
        <v>472</v>
      </c>
      <c r="B473" s="2" t="s">
        <v>31</v>
      </c>
      <c r="C473" s="2" t="s">
        <v>1</v>
      </c>
      <c r="D473" s="2" t="s">
        <v>8</v>
      </c>
      <c r="E473" s="2" t="s">
        <v>9</v>
      </c>
      <c r="F473" s="9" t="s">
        <v>4</v>
      </c>
      <c r="G473" s="9" t="str">
        <f t="shared" si="15"/>
        <v>Personal Care</v>
      </c>
      <c r="H473" s="25">
        <v>5.38</v>
      </c>
      <c r="I473" s="6">
        <v>11</v>
      </c>
      <c r="J473" s="25">
        <v>4.1399999999999997</v>
      </c>
      <c r="K473" s="25">
        <v>63.32</v>
      </c>
      <c r="L473" s="9">
        <v>0</v>
      </c>
      <c r="M473" s="39" t="str">
        <f t="shared" si="14"/>
        <v>Normal Transaction</v>
      </c>
    </row>
    <row r="474" spans="1:13" x14ac:dyDescent="0.35">
      <c r="A474" s="27">
        <v>473</v>
      </c>
      <c r="B474" s="2" t="s">
        <v>0</v>
      </c>
      <c r="C474" s="2" t="s">
        <v>14</v>
      </c>
      <c r="D474" s="2" t="s">
        <v>2</v>
      </c>
      <c r="E474" s="2" t="s">
        <v>3</v>
      </c>
      <c r="F474" s="9" t="s">
        <v>12</v>
      </c>
      <c r="G474" s="9" t="str">
        <f t="shared" si="15"/>
        <v>Fruits</v>
      </c>
      <c r="H474" s="25">
        <v>12.89</v>
      </c>
      <c r="I474" s="6">
        <v>12</v>
      </c>
      <c r="J474" s="25">
        <v>10.83</v>
      </c>
      <c r="K474" s="25">
        <v>165.51</v>
      </c>
      <c r="L474" s="9">
        <v>16</v>
      </c>
      <c r="M474" s="39" t="str">
        <f t="shared" si="14"/>
        <v>Normal Transaction</v>
      </c>
    </row>
    <row r="475" spans="1:13" x14ac:dyDescent="0.35">
      <c r="A475" s="27">
        <v>474</v>
      </c>
      <c r="B475" s="2" t="s">
        <v>6</v>
      </c>
      <c r="C475" s="2" t="s">
        <v>7</v>
      </c>
      <c r="D475" s="2" t="s">
        <v>8</v>
      </c>
      <c r="E475" s="2" t="s">
        <v>3</v>
      </c>
      <c r="F475" s="9" t="s">
        <v>4</v>
      </c>
      <c r="G475" s="9" t="str">
        <f t="shared" si="15"/>
        <v>Personal Care</v>
      </c>
      <c r="H475" s="25">
        <v>4.9400000000000004</v>
      </c>
      <c r="I475" s="6">
        <v>5</v>
      </c>
      <c r="J475" s="25">
        <v>1.73</v>
      </c>
      <c r="K475" s="25">
        <v>26.43</v>
      </c>
      <c r="L475" s="9">
        <v>0</v>
      </c>
      <c r="M475" s="39" t="str">
        <f t="shared" si="14"/>
        <v>Normal Transaction</v>
      </c>
    </row>
    <row r="476" spans="1:13" x14ac:dyDescent="0.35">
      <c r="A476" s="27">
        <v>475</v>
      </c>
      <c r="B476" s="2" t="s">
        <v>0</v>
      </c>
      <c r="C476" s="2" t="s">
        <v>14</v>
      </c>
      <c r="D476" s="2" t="s">
        <v>2</v>
      </c>
      <c r="E476" s="2" t="s">
        <v>3</v>
      </c>
      <c r="F476" s="9" t="s">
        <v>17</v>
      </c>
      <c r="G476" s="9" t="str">
        <f t="shared" si="15"/>
        <v>Beverages</v>
      </c>
      <c r="H476" s="25">
        <v>18.18</v>
      </c>
      <c r="I476" s="6">
        <v>17</v>
      </c>
      <c r="J476" s="25">
        <v>21.63</v>
      </c>
      <c r="K476" s="25">
        <v>330.69</v>
      </c>
      <c r="L476" s="9">
        <v>33</v>
      </c>
      <c r="M476" s="39" t="str">
        <f t="shared" si="14"/>
        <v>Normal Transaction</v>
      </c>
    </row>
    <row r="477" spans="1:13" x14ac:dyDescent="0.35">
      <c r="A477" s="27">
        <v>476</v>
      </c>
      <c r="B477" s="2" t="s">
        <v>6</v>
      </c>
      <c r="C477" s="2" t="s">
        <v>7</v>
      </c>
      <c r="D477" s="2" t="s">
        <v>8</v>
      </c>
      <c r="E477" s="2" t="s">
        <v>9</v>
      </c>
      <c r="F477" s="9" t="s">
        <v>15</v>
      </c>
      <c r="G477" s="9" t="str">
        <f t="shared" si="15"/>
        <v>Household</v>
      </c>
      <c r="H477" s="25">
        <v>7.95</v>
      </c>
      <c r="I477" s="6">
        <v>1</v>
      </c>
      <c r="J477" s="25">
        <v>0.56000000000000005</v>
      </c>
      <c r="K477" s="25">
        <v>8.51</v>
      </c>
      <c r="L477" s="9">
        <v>0</v>
      </c>
      <c r="M477" s="39" t="str">
        <f t="shared" si="14"/>
        <v>Normal Transaction</v>
      </c>
    </row>
    <row r="478" spans="1:13" x14ac:dyDescent="0.35">
      <c r="A478" s="27">
        <v>477</v>
      </c>
      <c r="B478" s="2" t="s">
        <v>6</v>
      </c>
      <c r="C478" s="2" t="s">
        <v>7</v>
      </c>
      <c r="D478" s="2" t="s">
        <v>8</v>
      </c>
      <c r="E478" s="2" t="s">
        <v>9</v>
      </c>
      <c r="F478" s="9" t="s">
        <v>10</v>
      </c>
      <c r="G478" s="9" t="str">
        <f t="shared" si="15"/>
        <v>Stationery</v>
      </c>
      <c r="H478" s="25">
        <v>11.44</v>
      </c>
      <c r="I478" s="6">
        <v>6</v>
      </c>
      <c r="J478" s="25">
        <v>4.8</v>
      </c>
      <c r="K478" s="25">
        <v>73.44</v>
      </c>
      <c r="L478" s="9">
        <v>0</v>
      </c>
      <c r="M478" s="39" t="str">
        <f t="shared" si="14"/>
        <v>Normal Transaction</v>
      </c>
    </row>
    <row r="479" spans="1:13" x14ac:dyDescent="0.35">
      <c r="A479" s="27">
        <v>478</v>
      </c>
      <c r="B479" s="2" t="s">
        <v>31</v>
      </c>
      <c r="C479" s="2" t="s">
        <v>1</v>
      </c>
      <c r="D479" s="2" t="s">
        <v>8</v>
      </c>
      <c r="E479" s="2" t="s">
        <v>3</v>
      </c>
      <c r="F479" s="9" t="s">
        <v>10</v>
      </c>
      <c r="G479" s="9" t="str">
        <f t="shared" si="15"/>
        <v>Stationery</v>
      </c>
      <c r="H479" s="25">
        <v>20.39</v>
      </c>
      <c r="I479" s="6">
        <v>1</v>
      </c>
      <c r="J479" s="25">
        <v>1.43</v>
      </c>
      <c r="K479" s="25">
        <v>21.82</v>
      </c>
      <c r="L479" s="9">
        <v>0</v>
      </c>
      <c r="M479" s="39" t="str">
        <f t="shared" si="14"/>
        <v>Normal Transaction</v>
      </c>
    </row>
    <row r="480" spans="1:13" x14ac:dyDescent="0.35">
      <c r="A480" s="27">
        <v>479</v>
      </c>
      <c r="B480" s="2" t="s">
        <v>6</v>
      </c>
      <c r="C480" s="2" t="s">
        <v>7</v>
      </c>
      <c r="D480" s="2" t="s">
        <v>2</v>
      </c>
      <c r="E480" s="2" t="s">
        <v>9</v>
      </c>
      <c r="F480" s="9" t="s">
        <v>12</v>
      </c>
      <c r="G480" s="9" t="str">
        <f t="shared" si="15"/>
        <v>Fruits</v>
      </c>
      <c r="H480" s="25">
        <v>18.899999999999999</v>
      </c>
      <c r="I480" s="6">
        <v>3</v>
      </c>
      <c r="J480" s="25">
        <v>3.97</v>
      </c>
      <c r="K480" s="25">
        <v>60.67</v>
      </c>
      <c r="L480" s="9">
        <v>6</v>
      </c>
      <c r="M480" s="39" t="str">
        <f t="shared" si="14"/>
        <v>Normal Transaction</v>
      </c>
    </row>
    <row r="481" spans="1:13" x14ac:dyDescent="0.35">
      <c r="A481" s="27">
        <v>480</v>
      </c>
      <c r="B481" s="2" t="s">
        <v>0</v>
      </c>
      <c r="C481" s="2" t="s">
        <v>14</v>
      </c>
      <c r="D481" s="2" t="s">
        <v>8</v>
      </c>
      <c r="E481" s="2" t="s">
        <v>3</v>
      </c>
      <c r="F481" s="9" t="s">
        <v>10</v>
      </c>
      <c r="G481" s="9" t="str">
        <f t="shared" si="15"/>
        <v>Stationery</v>
      </c>
      <c r="H481" s="25">
        <v>14.42</v>
      </c>
      <c r="I481" s="6">
        <v>10</v>
      </c>
      <c r="J481" s="25">
        <v>10.09</v>
      </c>
      <c r="K481" s="25">
        <v>154.29</v>
      </c>
      <c r="L481" s="9">
        <v>0</v>
      </c>
      <c r="M481" s="39" t="str">
        <f t="shared" si="14"/>
        <v>Normal Transaction</v>
      </c>
    </row>
    <row r="482" spans="1:13" x14ac:dyDescent="0.35">
      <c r="A482" s="27">
        <v>481</v>
      </c>
      <c r="B482" s="2" t="s">
        <v>31</v>
      </c>
      <c r="C482" s="2" t="s">
        <v>1</v>
      </c>
      <c r="D482" s="2" t="s">
        <v>2</v>
      </c>
      <c r="E482" s="2" t="s">
        <v>9</v>
      </c>
      <c r="F482" s="9" t="s">
        <v>10</v>
      </c>
      <c r="G482" s="9" t="str">
        <f t="shared" si="15"/>
        <v>Stationery</v>
      </c>
      <c r="H482" s="25">
        <v>9.65</v>
      </c>
      <c r="I482" s="6">
        <v>11</v>
      </c>
      <c r="J482" s="25">
        <v>7.43</v>
      </c>
      <c r="K482" s="25">
        <v>113.58</v>
      </c>
      <c r="L482" s="9">
        <v>11</v>
      </c>
      <c r="M482" s="39" t="str">
        <f t="shared" si="14"/>
        <v>Normal Transaction</v>
      </c>
    </row>
    <row r="483" spans="1:13" x14ac:dyDescent="0.35">
      <c r="A483" s="27">
        <v>482</v>
      </c>
      <c r="B483" s="2" t="s">
        <v>0</v>
      </c>
      <c r="C483" s="2" t="s">
        <v>14</v>
      </c>
      <c r="D483" s="2" t="s">
        <v>8</v>
      </c>
      <c r="E483" s="2" t="s">
        <v>3</v>
      </c>
      <c r="F483" s="9" t="s">
        <v>15</v>
      </c>
      <c r="G483" s="9" t="str">
        <f t="shared" si="15"/>
        <v>Household</v>
      </c>
      <c r="H483" s="25">
        <v>12.14</v>
      </c>
      <c r="I483" s="6">
        <v>17</v>
      </c>
      <c r="J483" s="25">
        <v>14.45</v>
      </c>
      <c r="K483" s="25">
        <v>220.83</v>
      </c>
      <c r="L483" s="9">
        <v>0</v>
      </c>
      <c r="M483" s="39" t="str">
        <f t="shared" si="14"/>
        <v>Normal Transaction</v>
      </c>
    </row>
    <row r="484" spans="1:13" x14ac:dyDescent="0.35">
      <c r="A484" s="27">
        <v>483</v>
      </c>
      <c r="B484" s="2" t="s">
        <v>0</v>
      </c>
      <c r="C484" s="2" t="s">
        <v>14</v>
      </c>
      <c r="D484" s="2" t="s">
        <v>2</v>
      </c>
      <c r="E484" s="2" t="s">
        <v>3</v>
      </c>
      <c r="F484" s="9" t="s">
        <v>12</v>
      </c>
      <c r="G484" s="9" t="str">
        <f t="shared" si="15"/>
        <v>Fruits</v>
      </c>
      <c r="H484" s="25">
        <v>10.7</v>
      </c>
      <c r="I484" s="6">
        <v>11</v>
      </c>
      <c r="J484" s="25">
        <v>8.24</v>
      </c>
      <c r="K484" s="25">
        <v>125.94</v>
      </c>
      <c r="L484" s="9">
        <v>12</v>
      </c>
      <c r="M484" s="39" t="str">
        <f t="shared" si="14"/>
        <v>Normal Transaction</v>
      </c>
    </row>
    <row r="485" spans="1:13" x14ac:dyDescent="0.35">
      <c r="A485" s="27">
        <v>484</v>
      </c>
      <c r="B485" s="2" t="s">
        <v>31</v>
      </c>
      <c r="C485" s="2" t="s">
        <v>1</v>
      </c>
      <c r="D485" s="2" t="s">
        <v>8</v>
      </c>
      <c r="E485" s="2" t="s">
        <v>3</v>
      </c>
      <c r="F485" s="9" t="s">
        <v>17</v>
      </c>
      <c r="G485" s="9" t="str">
        <f t="shared" si="15"/>
        <v>Beverages</v>
      </c>
      <c r="H485" s="25">
        <v>11.66</v>
      </c>
      <c r="I485" s="6">
        <v>12</v>
      </c>
      <c r="J485" s="25">
        <v>9.7899999999999991</v>
      </c>
      <c r="K485" s="25">
        <v>149.71</v>
      </c>
      <c r="L485" s="9">
        <v>0</v>
      </c>
      <c r="M485" s="39" t="str">
        <f t="shared" si="14"/>
        <v>Normal Transaction</v>
      </c>
    </row>
    <row r="486" spans="1:13" x14ac:dyDescent="0.35">
      <c r="A486" s="27">
        <v>485</v>
      </c>
      <c r="B486" s="2" t="s">
        <v>0</v>
      </c>
      <c r="C486" s="2" t="s">
        <v>14</v>
      </c>
      <c r="D486" s="2" t="s">
        <v>8</v>
      </c>
      <c r="E486" s="2" t="s">
        <v>9</v>
      </c>
      <c r="F486" s="9" t="s">
        <v>17</v>
      </c>
      <c r="G486" s="9" t="str">
        <f t="shared" si="15"/>
        <v>Beverages</v>
      </c>
      <c r="H486" s="25">
        <v>12.57</v>
      </c>
      <c r="I486" s="6">
        <v>16</v>
      </c>
      <c r="J486" s="25">
        <v>14.08</v>
      </c>
      <c r="K486" s="25">
        <v>215.2</v>
      </c>
      <c r="L486" s="9">
        <v>0</v>
      </c>
      <c r="M486" s="39" t="str">
        <f t="shared" si="14"/>
        <v>Normal Transaction</v>
      </c>
    </row>
    <row r="487" spans="1:13" x14ac:dyDescent="0.35">
      <c r="A487" s="27">
        <v>486</v>
      </c>
      <c r="B487" s="2" t="s">
        <v>6</v>
      </c>
      <c r="C487" s="2" t="s">
        <v>7</v>
      </c>
      <c r="D487" s="2" t="s">
        <v>8</v>
      </c>
      <c r="E487" s="2" t="s">
        <v>9</v>
      </c>
      <c r="F487" s="9" t="s">
        <v>12</v>
      </c>
      <c r="G487" s="9" t="str">
        <f t="shared" si="15"/>
        <v>Fruits</v>
      </c>
      <c r="H487" s="25">
        <v>1.51</v>
      </c>
      <c r="I487" s="6">
        <v>2</v>
      </c>
      <c r="J487" s="25">
        <v>0.21</v>
      </c>
      <c r="K487" s="25">
        <v>3.23</v>
      </c>
      <c r="L487" s="9">
        <v>0</v>
      </c>
      <c r="M487" s="39" t="str">
        <f t="shared" si="14"/>
        <v>Normal Transaction</v>
      </c>
    </row>
    <row r="488" spans="1:13" x14ac:dyDescent="0.35">
      <c r="A488" s="27">
        <v>487</v>
      </c>
      <c r="B488" s="2" t="s">
        <v>31</v>
      </c>
      <c r="C488" s="2" t="s">
        <v>1</v>
      </c>
      <c r="D488" s="2" t="s">
        <v>8</v>
      </c>
      <c r="E488" s="2" t="s">
        <v>3</v>
      </c>
      <c r="F488" s="9" t="s">
        <v>12</v>
      </c>
      <c r="G488" s="9" t="str">
        <f t="shared" si="15"/>
        <v>Fruits</v>
      </c>
      <c r="H488" s="25">
        <v>8.2799999999999994</v>
      </c>
      <c r="I488" s="6">
        <v>9</v>
      </c>
      <c r="J488" s="25">
        <v>5.22</v>
      </c>
      <c r="K488" s="25">
        <v>79.739999999999995</v>
      </c>
      <c r="L488" s="9">
        <v>0</v>
      </c>
      <c r="M488" s="39" t="str">
        <f t="shared" si="14"/>
        <v>Normal Transaction</v>
      </c>
    </row>
    <row r="489" spans="1:13" x14ac:dyDescent="0.35">
      <c r="A489" s="27">
        <v>488</v>
      </c>
      <c r="B489" s="2" t="s">
        <v>31</v>
      </c>
      <c r="C489" s="2" t="s">
        <v>1</v>
      </c>
      <c r="D489" s="2" t="s">
        <v>2</v>
      </c>
      <c r="E489" s="2" t="s">
        <v>3</v>
      </c>
      <c r="F489" s="9" t="s">
        <v>15</v>
      </c>
      <c r="G489" s="9" t="str">
        <f t="shared" si="15"/>
        <v>Household</v>
      </c>
      <c r="H489" s="25">
        <v>10.1</v>
      </c>
      <c r="I489" s="6">
        <v>20</v>
      </c>
      <c r="J489" s="25">
        <v>14.14</v>
      </c>
      <c r="K489" s="25">
        <v>216.14</v>
      </c>
      <c r="L489" s="9">
        <v>21</v>
      </c>
      <c r="M489" s="39" t="str">
        <f t="shared" si="14"/>
        <v>Normal Transaction</v>
      </c>
    </row>
    <row r="490" spans="1:13" x14ac:dyDescent="0.35">
      <c r="A490" s="27">
        <v>489</v>
      </c>
      <c r="B490" s="2" t="s">
        <v>6</v>
      </c>
      <c r="C490" s="2" t="s">
        <v>7</v>
      </c>
      <c r="D490" s="2" t="s">
        <v>8</v>
      </c>
      <c r="E490" s="2" t="s">
        <v>3</v>
      </c>
      <c r="F490" s="9" t="s">
        <v>10</v>
      </c>
      <c r="G490" s="9" t="str">
        <f t="shared" si="15"/>
        <v>Stationery</v>
      </c>
      <c r="H490" s="25">
        <v>6.03</v>
      </c>
      <c r="I490" s="6">
        <v>5</v>
      </c>
      <c r="J490" s="25">
        <v>2.11</v>
      </c>
      <c r="K490" s="25">
        <v>32.26</v>
      </c>
      <c r="L490" s="9">
        <v>0</v>
      </c>
      <c r="M490" s="39" t="str">
        <f t="shared" si="14"/>
        <v>Normal Transaction</v>
      </c>
    </row>
    <row r="491" spans="1:13" x14ac:dyDescent="0.35">
      <c r="A491" s="27">
        <v>490</v>
      </c>
      <c r="B491" s="2" t="s">
        <v>31</v>
      </c>
      <c r="C491" s="2" t="s">
        <v>1</v>
      </c>
      <c r="D491" s="2" t="s">
        <v>2</v>
      </c>
      <c r="E491" s="2" t="s">
        <v>9</v>
      </c>
      <c r="F491" s="9" t="s">
        <v>17</v>
      </c>
      <c r="G491" s="9" t="str">
        <f t="shared" si="15"/>
        <v>Beverages</v>
      </c>
      <c r="H491" s="25">
        <v>20.149999999999999</v>
      </c>
      <c r="I491" s="6">
        <v>6</v>
      </c>
      <c r="J491" s="25">
        <v>8.4600000000000009</v>
      </c>
      <c r="K491" s="25">
        <v>129.36000000000001</v>
      </c>
      <c r="L491" s="9">
        <v>12</v>
      </c>
      <c r="M491" s="39" t="str">
        <f t="shared" si="14"/>
        <v>Normal Transaction</v>
      </c>
    </row>
    <row r="492" spans="1:13" x14ac:dyDescent="0.35">
      <c r="A492" s="27">
        <v>491</v>
      </c>
      <c r="B492" s="2" t="s">
        <v>31</v>
      </c>
      <c r="C492" s="2" t="s">
        <v>1</v>
      </c>
      <c r="D492" s="2" t="s">
        <v>8</v>
      </c>
      <c r="E492" s="2" t="s">
        <v>3</v>
      </c>
      <c r="F492" s="9" t="s">
        <v>15</v>
      </c>
      <c r="G492" s="9" t="str">
        <f t="shared" si="15"/>
        <v>Household</v>
      </c>
      <c r="H492" s="25">
        <v>1.4</v>
      </c>
      <c r="I492" s="6">
        <v>10</v>
      </c>
      <c r="J492" s="25">
        <v>0.98</v>
      </c>
      <c r="K492" s="25">
        <v>14.98</v>
      </c>
      <c r="L492" s="9">
        <v>0</v>
      </c>
      <c r="M492" s="39" t="str">
        <f t="shared" si="14"/>
        <v>Normal Transaction</v>
      </c>
    </row>
    <row r="493" spans="1:13" x14ac:dyDescent="0.35">
      <c r="A493" s="27">
        <v>492</v>
      </c>
      <c r="B493" s="2" t="s">
        <v>6</v>
      </c>
      <c r="C493" s="2" t="s">
        <v>7</v>
      </c>
      <c r="D493" s="2" t="s">
        <v>2</v>
      </c>
      <c r="E493" s="2" t="s">
        <v>3</v>
      </c>
      <c r="F493" s="9" t="s">
        <v>12</v>
      </c>
      <c r="G493" s="9" t="str">
        <f t="shared" si="15"/>
        <v>Fruits</v>
      </c>
      <c r="H493" s="25">
        <v>14.04</v>
      </c>
      <c r="I493" s="6">
        <v>11</v>
      </c>
      <c r="J493" s="25">
        <v>10.81</v>
      </c>
      <c r="K493" s="25">
        <v>165.25</v>
      </c>
      <c r="L493" s="9">
        <v>16</v>
      </c>
      <c r="M493" s="39" t="str">
        <f t="shared" si="14"/>
        <v>Normal Transaction</v>
      </c>
    </row>
    <row r="494" spans="1:13" x14ac:dyDescent="0.35">
      <c r="A494" s="27">
        <v>493</v>
      </c>
      <c r="B494" s="2" t="s">
        <v>31</v>
      </c>
      <c r="C494" s="2" t="s">
        <v>1</v>
      </c>
      <c r="D494" s="2" t="s">
        <v>8</v>
      </c>
      <c r="E494" s="2" t="s">
        <v>3</v>
      </c>
      <c r="F494" s="9" t="s">
        <v>10</v>
      </c>
      <c r="G494" s="9" t="str">
        <f t="shared" si="15"/>
        <v>Stationery</v>
      </c>
      <c r="H494" s="25">
        <v>17.02</v>
      </c>
      <c r="I494" s="6">
        <v>20</v>
      </c>
      <c r="J494" s="25">
        <v>23.83</v>
      </c>
      <c r="K494" s="25">
        <v>364.23</v>
      </c>
      <c r="L494" s="9">
        <v>0</v>
      </c>
      <c r="M494" s="39" t="str">
        <f t="shared" si="14"/>
        <v>Normal Transaction</v>
      </c>
    </row>
    <row r="495" spans="1:13" x14ac:dyDescent="0.35">
      <c r="A495" s="27">
        <v>494</v>
      </c>
      <c r="B495" s="2" t="s">
        <v>6</v>
      </c>
      <c r="C495" s="2" t="s">
        <v>7</v>
      </c>
      <c r="D495" s="2" t="s">
        <v>8</v>
      </c>
      <c r="E495" s="2" t="s">
        <v>3</v>
      </c>
      <c r="F495" s="9" t="s">
        <v>12</v>
      </c>
      <c r="G495" s="9" t="str">
        <f t="shared" si="15"/>
        <v>Fruits</v>
      </c>
      <c r="H495" s="25">
        <v>17.96</v>
      </c>
      <c r="I495" s="6">
        <v>8</v>
      </c>
      <c r="J495" s="25">
        <v>10.06</v>
      </c>
      <c r="K495" s="25">
        <v>153.74</v>
      </c>
      <c r="L495" s="9">
        <v>0</v>
      </c>
      <c r="M495" s="39" t="str">
        <f t="shared" si="14"/>
        <v>Normal Transaction</v>
      </c>
    </row>
    <row r="496" spans="1:13" x14ac:dyDescent="0.35">
      <c r="A496" s="27">
        <v>495</v>
      </c>
      <c r="B496" s="2" t="s">
        <v>31</v>
      </c>
      <c r="C496" s="2" t="s">
        <v>1</v>
      </c>
      <c r="D496" s="2" t="s">
        <v>8</v>
      </c>
      <c r="E496" s="2" t="s">
        <v>3</v>
      </c>
      <c r="F496" s="9" t="s">
        <v>10</v>
      </c>
      <c r="G496" s="9" t="str">
        <f t="shared" si="15"/>
        <v>Stationery</v>
      </c>
      <c r="H496" s="25">
        <v>8.3000000000000007</v>
      </c>
      <c r="I496" s="6">
        <v>8</v>
      </c>
      <c r="J496" s="25">
        <v>4.6500000000000004</v>
      </c>
      <c r="K496" s="25">
        <v>71.05</v>
      </c>
      <c r="L496" s="9">
        <v>0</v>
      </c>
      <c r="M496" s="39" t="str">
        <f t="shared" si="14"/>
        <v>Normal Transaction</v>
      </c>
    </row>
    <row r="497" spans="1:13" x14ac:dyDescent="0.35">
      <c r="A497" s="27">
        <v>496</v>
      </c>
      <c r="B497" s="2" t="s">
        <v>0</v>
      </c>
      <c r="C497" s="2" t="s">
        <v>14</v>
      </c>
      <c r="D497" s="2" t="s">
        <v>2</v>
      </c>
      <c r="E497" s="2" t="s">
        <v>3</v>
      </c>
      <c r="F497" s="9" t="s">
        <v>10</v>
      </c>
      <c r="G497" s="9" t="str">
        <f t="shared" si="15"/>
        <v>Stationery</v>
      </c>
      <c r="H497" s="25">
        <v>1.7</v>
      </c>
      <c r="I497" s="6">
        <v>12</v>
      </c>
      <c r="J497" s="25">
        <v>1.43</v>
      </c>
      <c r="K497" s="25">
        <v>21.83</v>
      </c>
      <c r="L497" s="9">
        <v>2</v>
      </c>
      <c r="M497" s="39" t="str">
        <f t="shared" si="14"/>
        <v>Normal Transaction</v>
      </c>
    </row>
    <row r="498" spans="1:13" x14ac:dyDescent="0.35">
      <c r="A498" s="27">
        <v>497</v>
      </c>
      <c r="B498" s="2" t="s">
        <v>0</v>
      </c>
      <c r="C498" s="2" t="s">
        <v>14</v>
      </c>
      <c r="D498" s="2" t="s">
        <v>2</v>
      </c>
      <c r="E498" s="2" t="s">
        <v>3</v>
      </c>
      <c r="F498" s="9" t="s">
        <v>10</v>
      </c>
      <c r="G498" s="9" t="str">
        <f t="shared" si="15"/>
        <v>Stationery</v>
      </c>
      <c r="H498" s="25">
        <v>4.09</v>
      </c>
      <c r="I498" s="6">
        <v>18</v>
      </c>
      <c r="J498" s="25">
        <v>5.15</v>
      </c>
      <c r="K498" s="25">
        <v>78.77</v>
      </c>
      <c r="L498" s="9">
        <v>7</v>
      </c>
      <c r="M498" s="39" t="str">
        <f t="shared" si="14"/>
        <v>Normal Transaction</v>
      </c>
    </row>
    <row r="499" spans="1:13" x14ac:dyDescent="0.35">
      <c r="A499" s="27">
        <v>498</v>
      </c>
      <c r="B499" s="2" t="s">
        <v>6</v>
      </c>
      <c r="C499" s="2" t="s">
        <v>7</v>
      </c>
      <c r="D499" s="2" t="s">
        <v>8</v>
      </c>
      <c r="E499" s="2" t="s">
        <v>3</v>
      </c>
      <c r="F499" s="9" t="s">
        <v>15</v>
      </c>
      <c r="G499" s="9" t="str">
        <f t="shared" si="15"/>
        <v>Household</v>
      </c>
      <c r="H499" s="25">
        <v>12.82</v>
      </c>
      <c r="I499" s="6">
        <v>5</v>
      </c>
      <c r="J499" s="25">
        <v>4.49</v>
      </c>
      <c r="K499" s="25">
        <v>68.59</v>
      </c>
      <c r="L499" s="9">
        <v>0</v>
      </c>
      <c r="M499" s="39" t="str">
        <f t="shared" si="14"/>
        <v>Normal Transaction</v>
      </c>
    </row>
    <row r="500" spans="1:13" x14ac:dyDescent="0.35">
      <c r="A500" s="27">
        <v>499</v>
      </c>
      <c r="B500" s="2" t="s">
        <v>0</v>
      </c>
      <c r="C500" s="2" t="s">
        <v>14</v>
      </c>
      <c r="D500" s="2" t="s">
        <v>2</v>
      </c>
      <c r="E500" s="2" t="s">
        <v>9</v>
      </c>
      <c r="F500" s="9" t="s">
        <v>10</v>
      </c>
      <c r="G500" s="9" t="str">
        <f t="shared" si="15"/>
        <v>Stationery</v>
      </c>
      <c r="H500" s="25">
        <v>4.7300000000000004</v>
      </c>
      <c r="I500" s="6">
        <v>16</v>
      </c>
      <c r="J500" s="25">
        <v>5.3</v>
      </c>
      <c r="K500" s="25">
        <v>80.98</v>
      </c>
      <c r="L500" s="9">
        <v>8</v>
      </c>
      <c r="M500" s="39" t="str">
        <f t="shared" si="14"/>
        <v>Normal Transaction</v>
      </c>
    </row>
    <row r="501" spans="1:13" x14ac:dyDescent="0.35">
      <c r="A501" s="27">
        <v>500</v>
      </c>
      <c r="B501" s="2" t="s">
        <v>0</v>
      </c>
      <c r="C501" s="2" t="s">
        <v>14</v>
      </c>
      <c r="D501" s="2" t="s">
        <v>8</v>
      </c>
      <c r="E501" s="2" t="s">
        <v>9</v>
      </c>
      <c r="F501" s="9" t="s">
        <v>4</v>
      </c>
      <c r="G501" s="9" t="str">
        <f t="shared" si="15"/>
        <v>Personal Care</v>
      </c>
      <c r="H501" s="25">
        <v>17.48</v>
      </c>
      <c r="I501" s="6">
        <v>14</v>
      </c>
      <c r="J501" s="25">
        <v>17.13</v>
      </c>
      <c r="K501" s="25">
        <v>261.85000000000002</v>
      </c>
      <c r="L501" s="9">
        <v>0</v>
      </c>
      <c r="M501" s="39" t="str">
        <f t="shared" si="14"/>
        <v>Normal Transaction</v>
      </c>
    </row>
    <row r="502" spans="1:13" x14ac:dyDescent="0.35">
      <c r="A502" s="27">
        <v>501</v>
      </c>
      <c r="B502" s="2" t="s">
        <v>31</v>
      </c>
      <c r="C502" s="2" t="s">
        <v>1</v>
      </c>
      <c r="D502" s="2" t="s">
        <v>8</v>
      </c>
      <c r="E502" s="2" t="s">
        <v>3</v>
      </c>
      <c r="F502" s="9" t="s">
        <v>10</v>
      </c>
      <c r="G502" s="9" t="str">
        <f t="shared" si="15"/>
        <v>Stationery</v>
      </c>
      <c r="H502" s="25">
        <v>20.96</v>
      </c>
      <c r="I502" s="6">
        <v>12</v>
      </c>
      <c r="J502" s="25">
        <v>17.61</v>
      </c>
      <c r="K502" s="25">
        <v>269.13</v>
      </c>
      <c r="L502" s="9">
        <v>0</v>
      </c>
      <c r="M502" s="39" t="str">
        <f t="shared" si="14"/>
        <v>Normal Transaction</v>
      </c>
    </row>
    <row r="503" spans="1:13" x14ac:dyDescent="0.35">
      <c r="A503" s="27">
        <v>502</v>
      </c>
      <c r="B503" s="2" t="s">
        <v>6</v>
      </c>
      <c r="C503" s="2" t="s">
        <v>7</v>
      </c>
      <c r="D503" s="2" t="s">
        <v>2</v>
      </c>
      <c r="E503" s="2" t="s">
        <v>3</v>
      </c>
      <c r="F503" s="9" t="s">
        <v>10</v>
      </c>
      <c r="G503" s="9" t="str">
        <f t="shared" si="15"/>
        <v>Stationery</v>
      </c>
      <c r="H503" s="25">
        <v>12.33</v>
      </c>
      <c r="I503" s="6">
        <v>6</v>
      </c>
      <c r="J503" s="25">
        <v>5.18</v>
      </c>
      <c r="K503" s="25">
        <v>79.16</v>
      </c>
      <c r="L503" s="9">
        <v>7</v>
      </c>
      <c r="M503" s="39" t="str">
        <f t="shared" si="14"/>
        <v>Normal Transaction</v>
      </c>
    </row>
    <row r="504" spans="1:13" x14ac:dyDescent="0.35">
      <c r="A504" s="27">
        <v>503</v>
      </c>
      <c r="B504" s="2" t="s">
        <v>31</v>
      </c>
      <c r="C504" s="2" t="s">
        <v>1</v>
      </c>
      <c r="D504" s="2" t="s">
        <v>8</v>
      </c>
      <c r="E504" s="2" t="s">
        <v>9</v>
      </c>
      <c r="F504" s="9" t="s">
        <v>17</v>
      </c>
      <c r="G504" s="9" t="str">
        <f t="shared" si="15"/>
        <v>Beverages</v>
      </c>
      <c r="H504" s="25">
        <v>16.239999999999998</v>
      </c>
      <c r="I504" s="6">
        <v>20</v>
      </c>
      <c r="J504" s="25">
        <v>22.74</v>
      </c>
      <c r="K504" s="25">
        <v>347.54</v>
      </c>
      <c r="L504" s="9">
        <v>0</v>
      </c>
      <c r="M504" s="39" t="str">
        <f t="shared" si="14"/>
        <v>Normal Transaction</v>
      </c>
    </row>
    <row r="505" spans="1:13" x14ac:dyDescent="0.35">
      <c r="A505" s="27">
        <v>504</v>
      </c>
      <c r="B505" s="2" t="s">
        <v>6</v>
      </c>
      <c r="C505" s="2" t="s">
        <v>7</v>
      </c>
      <c r="D505" s="2" t="s">
        <v>8</v>
      </c>
      <c r="E505" s="2" t="s">
        <v>3</v>
      </c>
      <c r="F505" s="9" t="s">
        <v>4</v>
      </c>
      <c r="G505" s="9" t="str">
        <f t="shared" si="15"/>
        <v>Personal Care</v>
      </c>
      <c r="H505" s="25">
        <v>2.73</v>
      </c>
      <c r="I505" s="6">
        <v>6</v>
      </c>
      <c r="J505" s="25">
        <v>1.1499999999999999</v>
      </c>
      <c r="K505" s="25">
        <v>17.53</v>
      </c>
      <c r="L505" s="9">
        <v>0</v>
      </c>
      <c r="M505" s="39" t="str">
        <f t="shared" si="14"/>
        <v>Normal Transaction</v>
      </c>
    </row>
    <row r="506" spans="1:13" x14ac:dyDescent="0.35">
      <c r="A506" s="27">
        <v>505</v>
      </c>
      <c r="B506" s="2" t="s">
        <v>0</v>
      </c>
      <c r="C506" s="2" t="s">
        <v>14</v>
      </c>
      <c r="D506" s="2" t="s">
        <v>2</v>
      </c>
      <c r="E506" s="2" t="s">
        <v>3</v>
      </c>
      <c r="F506" s="9" t="s">
        <v>15</v>
      </c>
      <c r="G506" s="9" t="str">
        <f t="shared" si="15"/>
        <v>Household</v>
      </c>
      <c r="H506" s="25">
        <v>3.43</v>
      </c>
      <c r="I506" s="6">
        <v>19</v>
      </c>
      <c r="J506" s="25">
        <v>4.5599999999999996</v>
      </c>
      <c r="K506" s="25">
        <v>69.73</v>
      </c>
      <c r="L506" s="9">
        <v>6</v>
      </c>
      <c r="M506" s="39" t="str">
        <f t="shared" si="14"/>
        <v>Normal Transaction</v>
      </c>
    </row>
    <row r="507" spans="1:13" x14ac:dyDescent="0.35">
      <c r="A507" s="27">
        <v>506</v>
      </c>
      <c r="B507" s="2" t="s">
        <v>0</v>
      </c>
      <c r="C507" s="2" t="s">
        <v>14</v>
      </c>
      <c r="D507" s="2" t="s">
        <v>8</v>
      </c>
      <c r="E507" s="2" t="s">
        <v>3</v>
      </c>
      <c r="F507" s="9" t="s">
        <v>12</v>
      </c>
      <c r="G507" s="9" t="str">
        <f t="shared" si="15"/>
        <v>Fruits</v>
      </c>
      <c r="H507" s="25">
        <v>14.14</v>
      </c>
      <c r="I507" s="6">
        <v>12</v>
      </c>
      <c r="J507" s="25">
        <v>11.88</v>
      </c>
      <c r="K507" s="25">
        <v>181.56</v>
      </c>
      <c r="L507" s="9">
        <v>0</v>
      </c>
      <c r="M507" s="39" t="str">
        <f t="shared" si="14"/>
        <v>Normal Transaction</v>
      </c>
    </row>
    <row r="508" spans="1:13" x14ac:dyDescent="0.35">
      <c r="A508" s="27">
        <v>507</v>
      </c>
      <c r="B508" s="2" t="s">
        <v>6</v>
      </c>
      <c r="C508" s="2" t="s">
        <v>7</v>
      </c>
      <c r="D508" s="2" t="s">
        <v>8</v>
      </c>
      <c r="E508" s="2" t="s">
        <v>3</v>
      </c>
      <c r="F508" s="9" t="s">
        <v>17</v>
      </c>
      <c r="G508" s="9" t="str">
        <f t="shared" si="15"/>
        <v>Beverages</v>
      </c>
      <c r="H508" s="25">
        <v>5.17</v>
      </c>
      <c r="I508" s="6">
        <v>15</v>
      </c>
      <c r="J508" s="25">
        <v>5.43</v>
      </c>
      <c r="K508" s="25">
        <v>82.98</v>
      </c>
      <c r="L508" s="9">
        <v>0</v>
      </c>
      <c r="M508" s="39" t="str">
        <f t="shared" si="14"/>
        <v>Normal Transaction</v>
      </c>
    </row>
    <row r="509" spans="1:13" x14ac:dyDescent="0.35">
      <c r="A509" s="27">
        <v>508</v>
      </c>
      <c r="B509" s="2" t="s">
        <v>31</v>
      </c>
      <c r="C509" s="2" t="s">
        <v>1</v>
      </c>
      <c r="D509" s="2" t="s">
        <v>2</v>
      </c>
      <c r="E509" s="2" t="s">
        <v>9</v>
      </c>
      <c r="F509" s="9" t="s">
        <v>17</v>
      </c>
      <c r="G509" s="9" t="str">
        <f t="shared" si="15"/>
        <v>Beverages</v>
      </c>
      <c r="H509" s="25">
        <v>14.16</v>
      </c>
      <c r="I509" s="6">
        <v>4</v>
      </c>
      <c r="J509" s="25">
        <v>3.96</v>
      </c>
      <c r="K509" s="25">
        <v>60.6</v>
      </c>
      <c r="L509" s="9">
        <v>6</v>
      </c>
      <c r="M509" s="39" t="str">
        <f t="shared" si="14"/>
        <v>Normal Transaction</v>
      </c>
    </row>
    <row r="510" spans="1:13" x14ac:dyDescent="0.35">
      <c r="A510" s="27">
        <v>509</v>
      </c>
      <c r="B510" s="2" t="s">
        <v>0</v>
      </c>
      <c r="C510" s="2" t="s">
        <v>14</v>
      </c>
      <c r="D510" s="2" t="s">
        <v>8</v>
      </c>
      <c r="E510" s="2" t="s">
        <v>9</v>
      </c>
      <c r="F510" s="9" t="s">
        <v>17</v>
      </c>
      <c r="G510" s="9" t="str">
        <f t="shared" si="15"/>
        <v>Beverages</v>
      </c>
      <c r="H510" s="25">
        <v>20.51</v>
      </c>
      <c r="I510" s="6">
        <v>2</v>
      </c>
      <c r="J510" s="25">
        <v>2.87</v>
      </c>
      <c r="K510" s="25">
        <v>43.89</v>
      </c>
      <c r="L510" s="9">
        <v>0</v>
      </c>
      <c r="M510" s="39" t="str">
        <f t="shared" si="14"/>
        <v>Normal Transaction</v>
      </c>
    </row>
    <row r="511" spans="1:13" x14ac:dyDescent="0.35">
      <c r="A511" s="27">
        <v>510</v>
      </c>
      <c r="B511" s="2" t="s">
        <v>0</v>
      </c>
      <c r="C511" s="2" t="s">
        <v>14</v>
      </c>
      <c r="D511" s="2" t="s">
        <v>2</v>
      </c>
      <c r="E511" s="2" t="s">
        <v>9</v>
      </c>
      <c r="F511" s="9" t="s">
        <v>4</v>
      </c>
      <c r="G511" s="9" t="str">
        <f t="shared" si="15"/>
        <v>Personal Care</v>
      </c>
      <c r="H511" s="25">
        <v>15.44</v>
      </c>
      <c r="I511" s="6">
        <v>20</v>
      </c>
      <c r="J511" s="25">
        <v>21.62</v>
      </c>
      <c r="K511" s="25">
        <v>330.42</v>
      </c>
      <c r="L511" s="9">
        <v>33</v>
      </c>
      <c r="M511" s="39" t="str">
        <f t="shared" si="14"/>
        <v>Normal Transaction</v>
      </c>
    </row>
    <row r="512" spans="1:13" x14ac:dyDescent="0.35">
      <c r="A512" s="27">
        <v>511</v>
      </c>
      <c r="B512" s="2" t="s">
        <v>31</v>
      </c>
      <c r="C512" s="2" t="s">
        <v>1</v>
      </c>
      <c r="D512" s="2" t="s">
        <v>2</v>
      </c>
      <c r="E512" s="2" t="s">
        <v>9</v>
      </c>
      <c r="F512" s="9" t="s">
        <v>10</v>
      </c>
      <c r="G512" s="9" t="str">
        <f t="shared" si="15"/>
        <v>Stationery</v>
      </c>
      <c r="H512" s="25">
        <v>20.48</v>
      </c>
      <c r="I512" s="6">
        <v>17</v>
      </c>
      <c r="J512" s="25">
        <v>24.37</v>
      </c>
      <c r="K512" s="25">
        <v>372.53</v>
      </c>
      <c r="L512" s="9">
        <v>37</v>
      </c>
      <c r="M512" s="39" t="str">
        <f t="shared" si="14"/>
        <v>Normal Transaction</v>
      </c>
    </row>
    <row r="513" spans="1:13" x14ac:dyDescent="0.35">
      <c r="A513" s="27">
        <v>512</v>
      </c>
      <c r="B513" s="2" t="s">
        <v>0</v>
      </c>
      <c r="C513" s="2" t="s">
        <v>14</v>
      </c>
      <c r="D513" s="2" t="s">
        <v>2</v>
      </c>
      <c r="E513" s="2" t="s">
        <v>3</v>
      </c>
      <c r="F513" s="9" t="s">
        <v>4</v>
      </c>
      <c r="G513" s="9" t="str">
        <f t="shared" si="15"/>
        <v>Personal Care</v>
      </c>
      <c r="H513" s="25">
        <v>13.15</v>
      </c>
      <c r="I513" s="6">
        <v>1</v>
      </c>
      <c r="J513" s="25">
        <v>0.92</v>
      </c>
      <c r="K513" s="25">
        <v>14.07</v>
      </c>
      <c r="L513" s="9">
        <v>1</v>
      </c>
      <c r="M513" s="39" t="str">
        <f t="shared" si="14"/>
        <v>Normal Transaction</v>
      </c>
    </row>
    <row r="514" spans="1:13" x14ac:dyDescent="0.35">
      <c r="A514" s="27">
        <v>513</v>
      </c>
      <c r="B514" s="2" t="s">
        <v>0</v>
      </c>
      <c r="C514" s="2" t="s">
        <v>14</v>
      </c>
      <c r="D514" s="2" t="s">
        <v>2</v>
      </c>
      <c r="E514" s="2" t="s">
        <v>9</v>
      </c>
      <c r="F514" s="9" t="s">
        <v>15</v>
      </c>
      <c r="G514" s="9" t="str">
        <f t="shared" si="15"/>
        <v>Household</v>
      </c>
      <c r="H514" s="25">
        <v>1.35</v>
      </c>
      <c r="I514" s="6">
        <v>1</v>
      </c>
      <c r="J514" s="25">
        <v>0.09</v>
      </c>
      <c r="K514" s="25">
        <v>1.44</v>
      </c>
      <c r="L514" s="9">
        <v>0</v>
      </c>
      <c r="M514" s="39" t="str">
        <f t="shared" ref="M514:M577" si="16">IF(K514 &gt; 382.93, "Outlier (Extreme Spend)", "Normal Transaction")</f>
        <v>Normal Transaction</v>
      </c>
    </row>
    <row r="515" spans="1:13" x14ac:dyDescent="0.35">
      <c r="A515" s="27">
        <v>514</v>
      </c>
      <c r="B515" s="2" t="s">
        <v>6</v>
      </c>
      <c r="C515" s="2" t="s">
        <v>7</v>
      </c>
      <c r="D515" s="2" t="s">
        <v>8</v>
      </c>
      <c r="E515" s="2" t="s">
        <v>3</v>
      </c>
      <c r="F515" s="9" t="s">
        <v>15</v>
      </c>
      <c r="G515" s="9" t="str">
        <f t="shared" ref="G515:G578" si="17">_xlfn.XLOOKUP(F515,$Q$2:$Q$6,$R$2:$R$6,"Unknown")</f>
        <v>Household</v>
      </c>
      <c r="H515" s="25">
        <v>18.09</v>
      </c>
      <c r="I515" s="6">
        <v>6</v>
      </c>
      <c r="J515" s="25">
        <v>7.6</v>
      </c>
      <c r="K515" s="25">
        <v>116.14</v>
      </c>
      <c r="L515" s="9">
        <v>0</v>
      </c>
      <c r="M515" s="39" t="str">
        <f t="shared" si="16"/>
        <v>Normal Transaction</v>
      </c>
    </row>
    <row r="516" spans="1:13" x14ac:dyDescent="0.35">
      <c r="A516" s="27">
        <v>515</v>
      </c>
      <c r="B516" s="2" t="s">
        <v>31</v>
      </c>
      <c r="C516" s="2" t="s">
        <v>1</v>
      </c>
      <c r="D516" s="2" t="s">
        <v>8</v>
      </c>
      <c r="E516" s="2" t="s">
        <v>3</v>
      </c>
      <c r="F516" s="9" t="s">
        <v>15</v>
      </c>
      <c r="G516" s="9" t="str">
        <f t="shared" si="17"/>
        <v>Household</v>
      </c>
      <c r="H516" s="25">
        <v>8.75</v>
      </c>
      <c r="I516" s="6">
        <v>8</v>
      </c>
      <c r="J516" s="25">
        <v>4.9000000000000004</v>
      </c>
      <c r="K516" s="25">
        <v>74.900000000000006</v>
      </c>
      <c r="L516" s="9">
        <v>0</v>
      </c>
      <c r="M516" s="39" t="str">
        <f t="shared" si="16"/>
        <v>Normal Transaction</v>
      </c>
    </row>
    <row r="517" spans="1:13" x14ac:dyDescent="0.35">
      <c r="A517" s="27">
        <v>516</v>
      </c>
      <c r="B517" s="2" t="s">
        <v>6</v>
      </c>
      <c r="C517" s="2" t="s">
        <v>7</v>
      </c>
      <c r="D517" s="2" t="s">
        <v>8</v>
      </c>
      <c r="E517" s="2" t="s">
        <v>9</v>
      </c>
      <c r="F517" s="9" t="s">
        <v>15</v>
      </c>
      <c r="G517" s="9" t="str">
        <f t="shared" si="17"/>
        <v>Household</v>
      </c>
      <c r="H517" s="25">
        <v>1.81</v>
      </c>
      <c r="I517" s="6">
        <v>17</v>
      </c>
      <c r="J517" s="25">
        <v>2.15</v>
      </c>
      <c r="K517" s="25">
        <v>32.92</v>
      </c>
      <c r="L517" s="9">
        <v>0</v>
      </c>
      <c r="M517" s="39" t="str">
        <f t="shared" si="16"/>
        <v>Normal Transaction</v>
      </c>
    </row>
    <row r="518" spans="1:13" x14ac:dyDescent="0.35">
      <c r="A518" s="27">
        <v>517</v>
      </c>
      <c r="B518" s="2" t="s">
        <v>0</v>
      </c>
      <c r="C518" s="2" t="s">
        <v>14</v>
      </c>
      <c r="D518" s="2" t="s">
        <v>2</v>
      </c>
      <c r="E518" s="2" t="s">
        <v>3</v>
      </c>
      <c r="F518" s="9" t="s">
        <v>4</v>
      </c>
      <c r="G518" s="9" t="str">
        <f t="shared" si="17"/>
        <v>Personal Care</v>
      </c>
      <c r="H518" s="25">
        <v>6.19</v>
      </c>
      <c r="I518" s="6">
        <v>8</v>
      </c>
      <c r="J518" s="25">
        <v>3.47</v>
      </c>
      <c r="K518" s="25">
        <v>52.99</v>
      </c>
      <c r="L518" s="9">
        <v>5</v>
      </c>
      <c r="M518" s="39" t="str">
        <f t="shared" si="16"/>
        <v>Normal Transaction</v>
      </c>
    </row>
    <row r="519" spans="1:13" x14ac:dyDescent="0.35">
      <c r="A519" s="27">
        <v>518</v>
      </c>
      <c r="B519" s="2" t="s">
        <v>31</v>
      </c>
      <c r="C519" s="2" t="s">
        <v>1</v>
      </c>
      <c r="D519" s="2" t="s">
        <v>2</v>
      </c>
      <c r="E519" s="2" t="s">
        <v>3</v>
      </c>
      <c r="F519" s="9" t="s">
        <v>15</v>
      </c>
      <c r="G519" s="9" t="str">
        <f t="shared" si="17"/>
        <v>Household</v>
      </c>
      <c r="H519" s="25">
        <v>10.1</v>
      </c>
      <c r="I519" s="6">
        <v>1</v>
      </c>
      <c r="J519" s="25">
        <v>0.71</v>
      </c>
      <c r="K519" s="25">
        <v>10.81</v>
      </c>
      <c r="L519" s="9">
        <v>1</v>
      </c>
      <c r="M519" s="39" t="str">
        <f t="shared" si="16"/>
        <v>Normal Transaction</v>
      </c>
    </row>
    <row r="520" spans="1:13" x14ac:dyDescent="0.35">
      <c r="A520" s="27">
        <v>519</v>
      </c>
      <c r="B520" s="2" t="s">
        <v>6</v>
      </c>
      <c r="C520" s="2" t="s">
        <v>7</v>
      </c>
      <c r="D520" s="2" t="s">
        <v>2</v>
      </c>
      <c r="E520" s="2" t="s">
        <v>9</v>
      </c>
      <c r="F520" s="9" t="s">
        <v>15</v>
      </c>
      <c r="G520" s="9" t="str">
        <f t="shared" si="17"/>
        <v>Household</v>
      </c>
      <c r="H520" s="25">
        <v>6.51</v>
      </c>
      <c r="I520" s="6">
        <v>9</v>
      </c>
      <c r="J520" s="25">
        <v>4.0999999999999996</v>
      </c>
      <c r="K520" s="25">
        <v>62.69</v>
      </c>
      <c r="L520" s="9">
        <v>6</v>
      </c>
      <c r="M520" s="39" t="str">
        <f t="shared" si="16"/>
        <v>Normal Transaction</v>
      </c>
    </row>
    <row r="521" spans="1:13" x14ac:dyDescent="0.35">
      <c r="A521" s="27">
        <v>520</v>
      </c>
      <c r="B521" s="2" t="s">
        <v>0</v>
      </c>
      <c r="C521" s="2" t="s">
        <v>14</v>
      </c>
      <c r="D521" s="2" t="s">
        <v>2</v>
      </c>
      <c r="E521" s="2" t="s">
        <v>3</v>
      </c>
      <c r="F521" s="9" t="s">
        <v>12</v>
      </c>
      <c r="G521" s="9" t="str">
        <f t="shared" si="17"/>
        <v>Fruits</v>
      </c>
      <c r="H521" s="25">
        <v>1.88</v>
      </c>
      <c r="I521" s="6">
        <v>3</v>
      </c>
      <c r="J521" s="25">
        <v>0.39</v>
      </c>
      <c r="K521" s="25">
        <v>6.03</v>
      </c>
      <c r="L521" s="9">
        <v>0</v>
      </c>
      <c r="M521" s="39" t="str">
        <f t="shared" si="16"/>
        <v>Normal Transaction</v>
      </c>
    </row>
    <row r="522" spans="1:13" x14ac:dyDescent="0.35">
      <c r="A522" s="27">
        <v>521</v>
      </c>
      <c r="B522" s="2" t="s">
        <v>0</v>
      </c>
      <c r="C522" s="2" t="s">
        <v>14</v>
      </c>
      <c r="D522" s="2" t="s">
        <v>8</v>
      </c>
      <c r="E522" s="2" t="s">
        <v>9</v>
      </c>
      <c r="F522" s="9" t="s">
        <v>4</v>
      </c>
      <c r="G522" s="9" t="str">
        <f t="shared" si="17"/>
        <v>Personal Care</v>
      </c>
      <c r="H522" s="25">
        <v>13.79</v>
      </c>
      <c r="I522" s="6">
        <v>3</v>
      </c>
      <c r="J522" s="25">
        <v>2.9</v>
      </c>
      <c r="K522" s="25">
        <v>44.27</v>
      </c>
      <c r="L522" s="9">
        <v>0</v>
      </c>
      <c r="M522" s="39" t="str">
        <f t="shared" si="16"/>
        <v>Normal Transaction</v>
      </c>
    </row>
    <row r="523" spans="1:13" x14ac:dyDescent="0.35">
      <c r="A523" s="27">
        <v>522</v>
      </c>
      <c r="B523" s="2" t="s">
        <v>0</v>
      </c>
      <c r="C523" s="2" t="s">
        <v>14</v>
      </c>
      <c r="D523" s="2" t="s">
        <v>8</v>
      </c>
      <c r="E523" s="2" t="s">
        <v>9</v>
      </c>
      <c r="F523" s="9" t="s">
        <v>10</v>
      </c>
      <c r="G523" s="9" t="str">
        <f t="shared" si="17"/>
        <v>Stationery</v>
      </c>
      <c r="H523" s="25">
        <v>20.23</v>
      </c>
      <c r="I523" s="6">
        <v>18</v>
      </c>
      <c r="J523" s="25">
        <v>25.49</v>
      </c>
      <c r="K523" s="25">
        <v>389.63</v>
      </c>
      <c r="L523" s="9">
        <v>0</v>
      </c>
      <c r="M523" s="39" t="str">
        <f t="shared" si="16"/>
        <v>Outlier (Extreme Spend)</v>
      </c>
    </row>
    <row r="524" spans="1:13" x14ac:dyDescent="0.35">
      <c r="A524" s="27">
        <v>523</v>
      </c>
      <c r="B524" s="2" t="s">
        <v>0</v>
      </c>
      <c r="C524" s="2" t="s">
        <v>14</v>
      </c>
      <c r="D524" s="2" t="s">
        <v>8</v>
      </c>
      <c r="E524" s="2" t="s">
        <v>3</v>
      </c>
      <c r="F524" s="9" t="s">
        <v>12</v>
      </c>
      <c r="G524" s="9" t="str">
        <f t="shared" si="17"/>
        <v>Fruits</v>
      </c>
      <c r="H524" s="25">
        <v>17.8</v>
      </c>
      <c r="I524" s="6">
        <v>2</v>
      </c>
      <c r="J524" s="25">
        <v>2.4900000000000002</v>
      </c>
      <c r="K524" s="25">
        <v>38.090000000000003</v>
      </c>
      <c r="L524" s="9">
        <v>0</v>
      </c>
      <c r="M524" s="39" t="str">
        <f t="shared" si="16"/>
        <v>Normal Transaction</v>
      </c>
    </row>
    <row r="525" spans="1:13" x14ac:dyDescent="0.35">
      <c r="A525" s="27">
        <v>524</v>
      </c>
      <c r="B525" s="2" t="s">
        <v>6</v>
      </c>
      <c r="C525" s="2" t="s">
        <v>7</v>
      </c>
      <c r="D525" s="2" t="s">
        <v>2</v>
      </c>
      <c r="E525" s="2" t="s">
        <v>3</v>
      </c>
      <c r="F525" s="9" t="s">
        <v>15</v>
      </c>
      <c r="G525" s="9" t="str">
        <f t="shared" si="17"/>
        <v>Household</v>
      </c>
      <c r="H525" s="25">
        <v>7.53</v>
      </c>
      <c r="I525" s="6">
        <v>15</v>
      </c>
      <c r="J525" s="25">
        <v>7.91</v>
      </c>
      <c r="K525" s="25">
        <v>120.86</v>
      </c>
      <c r="L525" s="9">
        <v>12</v>
      </c>
      <c r="M525" s="39" t="str">
        <f t="shared" si="16"/>
        <v>Normal Transaction</v>
      </c>
    </row>
    <row r="526" spans="1:13" x14ac:dyDescent="0.35">
      <c r="A526" s="27">
        <v>525</v>
      </c>
      <c r="B526" s="2" t="s">
        <v>6</v>
      </c>
      <c r="C526" s="2" t="s">
        <v>7</v>
      </c>
      <c r="D526" s="2" t="s">
        <v>8</v>
      </c>
      <c r="E526" s="2" t="s">
        <v>9</v>
      </c>
      <c r="F526" s="9" t="s">
        <v>4</v>
      </c>
      <c r="G526" s="9" t="str">
        <f t="shared" si="17"/>
        <v>Personal Care</v>
      </c>
      <c r="H526" s="25">
        <v>9.51</v>
      </c>
      <c r="I526" s="6">
        <v>12</v>
      </c>
      <c r="J526" s="25">
        <v>7.99</v>
      </c>
      <c r="K526" s="25">
        <v>122.11</v>
      </c>
      <c r="L526" s="9">
        <v>0</v>
      </c>
      <c r="M526" s="39" t="str">
        <f t="shared" si="16"/>
        <v>Normal Transaction</v>
      </c>
    </row>
    <row r="527" spans="1:13" x14ac:dyDescent="0.35">
      <c r="A527" s="27">
        <v>526</v>
      </c>
      <c r="B527" s="2" t="s">
        <v>0</v>
      </c>
      <c r="C527" s="2" t="s">
        <v>14</v>
      </c>
      <c r="D527" s="2" t="s">
        <v>8</v>
      </c>
      <c r="E527" s="2" t="s">
        <v>9</v>
      </c>
      <c r="F527" s="9" t="s">
        <v>15</v>
      </c>
      <c r="G527" s="9" t="str">
        <f t="shared" si="17"/>
        <v>Household</v>
      </c>
      <c r="H527" s="25">
        <v>1.68</v>
      </c>
      <c r="I527" s="6">
        <v>7</v>
      </c>
      <c r="J527" s="25">
        <v>0.82</v>
      </c>
      <c r="K527" s="25">
        <v>12.58</v>
      </c>
      <c r="L527" s="9">
        <v>0</v>
      </c>
      <c r="M527" s="39" t="str">
        <f t="shared" si="16"/>
        <v>Normal Transaction</v>
      </c>
    </row>
    <row r="528" spans="1:13" x14ac:dyDescent="0.35">
      <c r="A528" s="27">
        <v>527</v>
      </c>
      <c r="B528" s="2" t="s">
        <v>31</v>
      </c>
      <c r="C528" s="2" t="s">
        <v>1</v>
      </c>
      <c r="D528" s="2" t="s">
        <v>2</v>
      </c>
      <c r="E528" s="2" t="s">
        <v>3</v>
      </c>
      <c r="F528" s="9" t="s">
        <v>12</v>
      </c>
      <c r="G528" s="9" t="str">
        <f t="shared" si="17"/>
        <v>Fruits</v>
      </c>
      <c r="H528" s="25">
        <v>12.2</v>
      </c>
      <c r="I528" s="6">
        <v>16</v>
      </c>
      <c r="J528" s="25">
        <v>13.66</v>
      </c>
      <c r="K528" s="25">
        <v>208.86</v>
      </c>
      <c r="L528" s="9">
        <v>20</v>
      </c>
      <c r="M528" s="39" t="str">
        <f t="shared" si="16"/>
        <v>Normal Transaction</v>
      </c>
    </row>
    <row r="529" spans="1:13" x14ac:dyDescent="0.35">
      <c r="A529" s="27">
        <v>528</v>
      </c>
      <c r="B529" s="2" t="s">
        <v>6</v>
      </c>
      <c r="C529" s="2" t="s">
        <v>7</v>
      </c>
      <c r="D529" s="2" t="s">
        <v>2</v>
      </c>
      <c r="E529" s="2" t="s">
        <v>9</v>
      </c>
      <c r="F529" s="9" t="s">
        <v>15</v>
      </c>
      <c r="G529" s="9" t="str">
        <f t="shared" si="17"/>
        <v>Household</v>
      </c>
      <c r="H529" s="25">
        <v>6.04</v>
      </c>
      <c r="I529" s="6">
        <v>13</v>
      </c>
      <c r="J529" s="25">
        <v>5.5</v>
      </c>
      <c r="K529" s="25">
        <v>84.02</v>
      </c>
      <c r="L529" s="9">
        <v>8</v>
      </c>
      <c r="M529" s="39" t="str">
        <f t="shared" si="16"/>
        <v>Normal Transaction</v>
      </c>
    </row>
    <row r="530" spans="1:13" x14ac:dyDescent="0.35">
      <c r="A530" s="27">
        <v>529</v>
      </c>
      <c r="B530" s="2" t="s">
        <v>6</v>
      </c>
      <c r="C530" s="2" t="s">
        <v>7</v>
      </c>
      <c r="D530" s="2" t="s">
        <v>8</v>
      </c>
      <c r="E530" s="2" t="s">
        <v>9</v>
      </c>
      <c r="F530" s="9" t="s">
        <v>4</v>
      </c>
      <c r="G530" s="9" t="str">
        <f t="shared" si="17"/>
        <v>Personal Care</v>
      </c>
      <c r="H530" s="25">
        <v>1.63</v>
      </c>
      <c r="I530" s="6">
        <v>13</v>
      </c>
      <c r="J530" s="25">
        <v>1.48</v>
      </c>
      <c r="K530" s="25">
        <v>22.67</v>
      </c>
      <c r="L530" s="9">
        <v>0</v>
      </c>
      <c r="M530" s="39" t="str">
        <f t="shared" si="16"/>
        <v>Normal Transaction</v>
      </c>
    </row>
    <row r="531" spans="1:13" x14ac:dyDescent="0.35">
      <c r="A531" s="27">
        <v>530</v>
      </c>
      <c r="B531" s="2" t="s">
        <v>0</v>
      </c>
      <c r="C531" s="2" t="s">
        <v>14</v>
      </c>
      <c r="D531" s="2" t="s">
        <v>8</v>
      </c>
      <c r="E531" s="2" t="s">
        <v>9</v>
      </c>
      <c r="F531" s="9" t="s">
        <v>15</v>
      </c>
      <c r="G531" s="9" t="str">
        <f t="shared" si="17"/>
        <v>Household</v>
      </c>
      <c r="H531" s="25">
        <v>10.77</v>
      </c>
      <c r="I531" s="6">
        <v>18</v>
      </c>
      <c r="J531" s="25">
        <v>13.57</v>
      </c>
      <c r="K531" s="25">
        <v>207.43</v>
      </c>
      <c r="L531" s="9">
        <v>0</v>
      </c>
      <c r="M531" s="39" t="str">
        <f t="shared" si="16"/>
        <v>Normal Transaction</v>
      </c>
    </row>
    <row r="532" spans="1:13" x14ac:dyDescent="0.35">
      <c r="A532" s="27">
        <v>531</v>
      </c>
      <c r="B532" s="2" t="s">
        <v>6</v>
      </c>
      <c r="C532" s="2" t="s">
        <v>7</v>
      </c>
      <c r="D532" s="2" t="s">
        <v>8</v>
      </c>
      <c r="E532" s="2" t="s">
        <v>3</v>
      </c>
      <c r="F532" s="9" t="s">
        <v>15</v>
      </c>
      <c r="G532" s="9" t="str">
        <f t="shared" si="17"/>
        <v>Household</v>
      </c>
      <c r="H532" s="25">
        <v>9.67</v>
      </c>
      <c r="I532" s="6">
        <v>18</v>
      </c>
      <c r="J532" s="25">
        <v>12.18</v>
      </c>
      <c r="K532" s="25">
        <v>186.24</v>
      </c>
      <c r="L532" s="9">
        <v>0</v>
      </c>
      <c r="M532" s="39" t="str">
        <f t="shared" si="16"/>
        <v>Normal Transaction</v>
      </c>
    </row>
    <row r="533" spans="1:13" x14ac:dyDescent="0.35">
      <c r="A533" s="27">
        <v>532</v>
      </c>
      <c r="B533" s="2" t="s">
        <v>31</v>
      </c>
      <c r="C533" s="2" t="s">
        <v>1</v>
      </c>
      <c r="D533" s="2" t="s">
        <v>8</v>
      </c>
      <c r="E533" s="2" t="s">
        <v>3</v>
      </c>
      <c r="F533" s="9" t="s">
        <v>4</v>
      </c>
      <c r="G533" s="9" t="str">
        <f t="shared" si="17"/>
        <v>Personal Care</v>
      </c>
      <c r="H533" s="25">
        <v>17.53</v>
      </c>
      <c r="I533" s="6">
        <v>8</v>
      </c>
      <c r="J533" s="25">
        <v>9.82</v>
      </c>
      <c r="K533" s="25">
        <v>150.06</v>
      </c>
      <c r="L533" s="9">
        <v>0</v>
      </c>
      <c r="M533" s="39" t="str">
        <f t="shared" si="16"/>
        <v>Normal Transaction</v>
      </c>
    </row>
    <row r="534" spans="1:13" x14ac:dyDescent="0.35">
      <c r="A534" s="27">
        <v>533</v>
      </c>
      <c r="B534" s="2" t="s">
        <v>31</v>
      </c>
      <c r="C534" s="2" t="s">
        <v>1</v>
      </c>
      <c r="D534" s="2" t="s">
        <v>2</v>
      </c>
      <c r="E534" s="2" t="s">
        <v>3</v>
      </c>
      <c r="F534" s="9" t="s">
        <v>17</v>
      </c>
      <c r="G534" s="9" t="str">
        <f t="shared" si="17"/>
        <v>Beverages</v>
      </c>
      <c r="H534" s="25">
        <v>4.96</v>
      </c>
      <c r="I534" s="6">
        <v>11</v>
      </c>
      <c r="J534" s="25">
        <v>3.82</v>
      </c>
      <c r="K534" s="25">
        <v>58.38</v>
      </c>
      <c r="L534" s="9">
        <v>5</v>
      </c>
      <c r="M534" s="39" t="str">
        <f t="shared" si="16"/>
        <v>Normal Transaction</v>
      </c>
    </row>
    <row r="535" spans="1:13" x14ac:dyDescent="0.35">
      <c r="A535" s="27">
        <v>534</v>
      </c>
      <c r="B535" s="2" t="s">
        <v>31</v>
      </c>
      <c r="C535" s="2" t="s">
        <v>1</v>
      </c>
      <c r="D535" s="2" t="s">
        <v>8</v>
      </c>
      <c r="E535" s="2" t="s">
        <v>3</v>
      </c>
      <c r="F535" s="9" t="s">
        <v>15</v>
      </c>
      <c r="G535" s="9" t="str">
        <f t="shared" si="17"/>
        <v>Household</v>
      </c>
      <c r="H535" s="25">
        <v>7.84</v>
      </c>
      <c r="I535" s="6">
        <v>3</v>
      </c>
      <c r="J535" s="25">
        <v>1.65</v>
      </c>
      <c r="K535" s="25">
        <v>25.17</v>
      </c>
      <c r="L535" s="9">
        <v>0</v>
      </c>
      <c r="M535" s="39" t="str">
        <f t="shared" si="16"/>
        <v>Normal Transaction</v>
      </c>
    </row>
    <row r="536" spans="1:13" x14ac:dyDescent="0.35">
      <c r="A536" s="27">
        <v>535</v>
      </c>
      <c r="B536" s="2" t="s">
        <v>0</v>
      </c>
      <c r="C536" s="2" t="s">
        <v>14</v>
      </c>
      <c r="D536" s="2" t="s">
        <v>2</v>
      </c>
      <c r="E536" s="2" t="s">
        <v>3</v>
      </c>
      <c r="F536" s="9" t="s">
        <v>10</v>
      </c>
      <c r="G536" s="9" t="str">
        <f t="shared" si="17"/>
        <v>Stationery</v>
      </c>
      <c r="H536" s="25">
        <v>17.399999999999999</v>
      </c>
      <c r="I536" s="6">
        <v>8</v>
      </c>
      <c r="J536" s="25">
        <v>9.74</v>
      </c>
      <c r="K536" s="25">
        <v>148.94</v>
      </c>
      <c r="L536" s="9">
        <v>14</v>
      </c>
      <c r="M536" s="39" t="str">
        <f t="shared" si="16"/>
        <v>Normal Transaction</v>
      </c>
    </row>
    <row r="537" spans="1:13" x14ac:dyDescent="0.35">
      <c r="A537" s="27">
        <v>536</v>
      </c>
      <c r="B537" s="2" t="s">
        <v>0</v>
      </c>
      <c r="C537" s="2" t="s">
        <v>14</v>
      </c>
      <c r="D537" s="2" t="s">
        <v>8</v>
      </c>
      <c r="E537" s="2" t="s">
        <v>3</v>
      </c>
      <c r="F537" s="9" t="s">
        <v>12</v>
      </c>
      <c r="G537" s="9" t="str">
        <f t="shared" si="17"/>
        <v>Fruits</v>
      </c>
      <c r="H537" s="25">
        <v>12.52</v>
      </c>
      <c r="I537" s="6">
        <v>5</v>
      </c>
      <c r="J537" s="25">
        <v>4.38</v>
      </c>
      <c r="K537" s="25">
        <v>66.98</v>
      </c>
      <c r="L537" s="9">
        <v>0</v>
      </c>
      <c r="M537" s="39" t="str">
        <f t="shared" si="16"/>
        <v>Normal Transaction</v>
      </c>
    </row>
    <row r="538" spans="1:13" x14ac:dyDescent="0.35">
      <c r="A538" s="27">
        <v>537</v>
      </c>
      <c r="B538" s="2" t="s">
        <v>31</v>
      </c>
      <c r="C538" s="2" t="s">
        <v>1</v>
      </c>
      <c r="D538" s="2" t="s">
        <v>8</v>
      </c>
      <c r="E538" s="2" t="s">
        <v>3</v>
      </c>
      <c r="F538" s="9" t="s">
        <v>17</v>
      </c>
      <c r="G538" s="9" t="str">
        <f t="shared" si="17"/>
        <v>Beverages</v>
      </c>
      <c r="H538" s="25">
        <v>13.59</v>
      </c>
      <c r="I538" s="6">
        <v>11</v>
      </c>
      <c r="J538" s="25">
        <v>10.46</v>
      </c>
      <c r="K538" s="25">
        <v>159.94999999999999</v>
      </c>
      <c r="L538" s="9">
        <v>0</v>
      </c>
      <c r="M538" s="39" t="str">
        <f t="shared" si="16"/>
        <v>Normal Transaction</v>
      </c>
    </row>
    <row r="539" spans="1:13" x14ac:dyDescent="0.35">
      <c r="A539" s="27">
        <v>538</v>
      </c>
      <c r="B539" s="2" t="s">
        <v>31</v>
      </c>
      <c r="C539" s="2" t="s">
        <v>1</v>
      </c>
      <c r="D539" s="2" t="s">
        <v>2</v>
      </c>
      <c r="E539" s="2" t="s">
        <v>9</v>
      </c>
      <c r="F539" s="9" t="s">
        <v>10</v>
      </c>
      <c r="G539" s="9" t="str">
        <f t="shared" si="17"/>
        <v>Stationery</v>
      </c>
      <c r="H539" s="25">
        <v>10.77</v>
      </c>
      <c r="I539" s="6">
        <v>14</v>
      </c>
      <c r="J539" s="25">
        <v>10.55</v>
      </c>
      <c r="K539" s="25">
        <v>161.33000000000001</v>
      </c>
      <c r="L539" s="9">
        <v>16</v>
      </c>
      <c r="M539" s="39" t="str">
        <f t="shared" si="16"/>
        <v>Normal Transaction</v>
      </c>
    </row>
    <row r="540" spans="1:13" x14ac:dyDescent="0.35">
      <c r="A540" s="27">
        <v>539</v>
      </c>
      <c r="B540" s="2" t="s">
        <v>0</v>
      </c>
      <c r="C540" s="2" t="s">
        <v>14</v>
      </c>
      <c r="D540" s="2" t="s">
        <v>8</v>
      </c>
      <c r="E540" s="2" t="s">
        <v>3</v>
      </c>
      <c r="F540" s="9" t="s">
        <v>10</v>
      </c>
      <c r="G540" s="9" t="str">
        <f t="shared" si="17"/>
        <v>Stationery</v>
      </c>
      <c r="H540" s="25">
        <v>16.63</v>
      </c>
      <c r="I540" s="6">
        <v>19</v>
      </c>
      <c r="J540" s="25">
        <v>22.12</v>
      </c>
      <c r="K540" s="25">
        <v>338.09</v>
      </c>
      <c r="L540" s="9">
        <v>0</v>
      </c>
      <c r="M540" s="39" t="str">
        <f t="shared" si="16"/>
        <v>Normal Transaction</v>
      </c>
    </row>
    <row r="541" spans="1:13" x14ac:dyDescent="0.35">
      <c r="A541" s="27">
        <v>540</v>
      </c>
      <c r="B541" s="2" t="s">
        <v>31</v>
      </c>
      <c r="C541" s="2" t="s">
        <v>1</v>
      </c>
      <c r="D541" s="2" t="s">
        <v>8</v>
      </c>
      <c r="E541" s="2" t="s">
        <v>3</v>
      </c>
      <c r="F541" s="9" t="s">
        <v>4</v>
      </c>
      <c r="G541" s="9" t="str">
        <f t="shared" si="17"/>
        <v>Personal Care</v>
      </c>
      <c r="H541" s="25">
        <v>19.920000000000002</v>
      </c>
      <c r="I541" s="6">
        <v>5</v>
      </c>
      <c r="J541" s="25">
        <v>6.97</v>
      </c>
      <c r="K541" s="25">
        <v>106.57</v>
      </c>
      <c r="L541" s="9">
        <v>0</v>
      </c>
      <c r="M541" s="39" t="str">
        <f t="shared" si="16"/>
        <v>Normal Transaction</v>
      </c>
    </row>
    <row r="542" spans="1:13" x14ac:dyDescent="0.35">
      <c r="A542" s="27">
        <v>541</v>
      </c>
      <c r="B542" s="2" t="s">
        <v>0</v>
      </c>
      <c r="C542" s="2" t="s">
        <v>14</v>
      </c>
      <c r="D542" s="2" t="s">
        <v>8</v>
      </c>
      <c r="E542" s="2" t="s">
        <v>9</v>
      </c>
      <c r="F542" s="9" t="s">
        <v>17</v>
      </c>
      <c r="G542" s="9" t="str">
        <f t="shared" si="17"/>
        <v>Beverages</v>
      </c>
      <c r="H542" s="25">
        <v>14.49</v>
      </c>
      <c r="I542" s="6">
        <v>2</v>
      </c>
      <c r="J542" s="25">
        <v>2.0299999999999998</v>
      </c>
      <c r="K542" s="25">
        <v>31.01</v>
      </c>
      <c r="L542" s="9">
        <v>0</v>
      </c>
      <c r="M542" s="39" t="str">
        <f t="shared" si="16"/>
        <v>Normal Transaction</v>
      </c>
    </row>
    <row r="543" spans="1:13" x14ac:dyDescent="0.35">
      <c r="A543" s="27">
        <v>542</v>
      </c>
      <c r="B543" s="2" t="s">
        <v>31</v>
      </c>
      <c r="C543" s="2" t="s">
        <v>1</v>
      </c>
      <c r="D543" s="2" t="s">
        <v>2</v>
      </c>
      <c r="E543" s="2" t="s">
        <v>3</v>
      </c>
      <c r="F543" s="9" t="s">
        <v>17</v>
      </c>
      <c r="G543" s="9" t="str">
        <f t="shared" si="17"/>
        <v>Beverages</v>
      </c>
      <c r="H543" s="25">
        <v>9.6999999999999993</v>
      </c>
      <c r="I543" s="6">
        <v>18</v>
      </c>
      <c r="J543" s="25">
        <v>12.22</v>
      </c>
      <c r="K543" s="25">
        <v>186.82</v>
      </c>
      <c r="L543" s="9">
        <v>18</v>
      </c>
      <c r="M543" s="39" t="str">
        <f t="shared" si="16"/>
        <v>Normal Transaction</v>
      </c>
    </row>
    <row r="544" spans="1:13" x14ac:dyDescent="0.35">
      <c r="A544" s="27">
        <v>543</v>
      </c>
      <c r="B544" s="2" t="s">
        <v>31</v>
      </c>
      <c r="C544" s="2" t="s">
        <v>1</v>
      </c>
      <c r="D544" s="2" t="s">
        <v>2</v>
      </c>
      <c r="E544" s="2" t="s">
        <v>3</v>
      </c>
      <c r="F544" s="9" t="s">
        <v>12</v>
      </c>
      <c r="G544" s="9" t="str">
        <f t="shared" si="17"/>
        <v>Fruits</v>
      </c>
      <c r="H544" s="25">
        <v>5.16</v>
      </c>
      <c r="I544" s="6">
        <v>20</v>
      </c>
      <c r="J544" s="25">
        <v>7.22</v>
      </c>
      <c r="K544" s="25">
        <v>110.42</v>
      </c>
      <c r="L544" s="9">
        <v>11</v>
      </c>
      <c r="M544" s="39" t="str">
        <f t="shared" si="16"/>
        <v>Normal Transaction</v>
      </c>
    </row>
    <row r="545" spans="1:13" x14ac:dyDescent="0.35">
      <c r="A545" s="27">
        <v>544</v>
      </c>
      <c r="B545" s="2" t="s">
        <v>0</v>
      </c>
      <c r="C545" s="2" t="s">
        <v>14</v>
      </c>
      <c r="D545" s="2" t="s">
        <v>8</v>
      </c>
      <c r="E545" s="2" t="s">
        <v>3</v>
      </c>
      <c r="F545" s="9" t="s">
        <v>12</v>
      </c>
      <c r="G545" s="9" t="str">
        <f t="shared" si="17"/>
        <v>Fruits</v>
      </c>
      <c r="H545" s="25">
        <v>15.69</v>
      </c>
      <c r="I545" s="6">
        <v>13</v>
      </c>
      <c r="J545" s="25">
        <v>14.28</v>
      </c>
      <c r="K545" s="25">
        <v>218.25</v>
      </c>
      <c r="L545" s="9">
        <v>0</v>
      </c>
      <c r="M545" s="39" t="str">
        <f t="shared" si="16"/>
        <v>Normal Transaction</v>
      </c>
    </row>
    <row r="546" spans="1:13" x14ac:dyDescent="0.35">
      <c r="A546" s="27">
        <v>545</v>
      </c>
      <c r="B546" s="2" t="s">
        <v>6</v>
      </c>
      <c r="C546" s="2" t="s">
        <v>7</v>
      </c>
      <c r="D546" s="2" t="s">
        <v>8</v>
      </c>
      <c r="E546" s="2" t="s">
        <v>3</v>
      </c>
      <c r="F546" s="9" t="s">
        <v>10</v>
      </c>
      <c r="G546" s="9" t="str">
        <f t="shared" si="17"/>
        <v>Stationery</v>
      </c>
      <c r="H546" s="25">
        <v>14.05</v>
      </c>
      <c r="I546" s="6">
        <v>2</v>
      </c>
      <c r="J546" s="25">
        <v>1.97</v>
      </c>
      <c r="K546" s="25">
        <v>30.07</v>
      </c>
      <c r="L546" s="9">
        <v>0</v>
      </c>
      <c r="M546" s="39" t="str">
        <f t="shared" si="16"/>
        <v>Normal Transaction</v>
      </c>
    </row>
    <row r="547" spans="1:13" x14ac:dyDescent="0.35">
      <c r="A547" s="27">
        <v>546</v>
      </c>
      <c r="B547" s="2" t="s">
        <v>0</v>
      </c>
      <c r="C547" s="2" t="s">
        <v>14</v>
      </c>
      <c r="D547" s="2" t="s">
        <v>8</v>
      </c>
      <c r="E547" s="2" t="s">
        <v>9</v>
      </c>
      <c r="F547" s="9" t="s">
        <v>4</v>
      </c>
      <c r="G547" s="9" t="str">
        <f t="shared" si="17"/>
        <v>Personal Care</v>
      </c>
      <c r="H547" s="25">
        <v>15.5</v>
      </c>
      <c r="I547" s="6">
        <v>2</v>
      </c>
      <c r="J547" s="25">
        <v>2.17</v>
      </c>
      <c r="K547" s="25">
        <v>33.17</v>
      </c>
      <c r="L547" s="9">
        <v>0</v>
      </c>
      <c r="M547" s="39" t="str">
        <f t="shared" si="16"/>
        <v>Normal Transaction</v>
      </c>
    </row>
    <row r="548" spans="1:13" x14ac:dyDescent="0.35">
      <c r="A548" s="27">
        <v>547</v>
      </c>
      <c r="B548" s="2" t="s">
        <v>0</v>
      </c>
      <c r="C548" s="2" t="s">
        <v>14</v>
      </c>
      <c r="D548" s="2" t="s">
        <v>8</v>
      </c>
      <c r="E548" s="2" t="s">
        <v>3</v>
      </c>
      <c r="F548" s="9" t="s">
        <v>17</v>
      </c>
      <c r="G548" s="9" t="str">
        <f t="shared" si="17"/>
        <v>Beverages</v>
      </c>
      <c r="H548" s="25">
        <v>11.2</v>
      </c>
      <c r="I548" s="6">
        <v>14</v>
      </c>
      <c r="J548" s="25">
        <v>10.98</v>
      </c>
      <c r="K548" s="25">
        <v>167.78</v>
      </c>
      <c r="L548" s="9">
        <v>0</v>
      </c>
      <c r="M548" s="39" t="str">
        <f t="shared" si="16"/>
        <v>Normal Transaction</v>
      </c>
    </row>
    <row r="549" spans="1:13" x14ac:dyDescent="0.35">
      <c r="A549" s="27">
        <v>548</v>
      </c>
      <c r="B549" s="2" t="s">
        <v>31</v>
      </c>
      <c r="C549" s="2" t="s">
        <v>1</v>
      </c>
      <c r="D549" s="2" t="s">
        <v>2</v>
      </c>
      <c r="E549" s="2" t="s">
        <v>3</v>
      </c>
      <c r="F549" s="9" t="s">
        <v>15</v>
      </c>
      <c r="G549" s="9" t="str">
        <f t="shared" si="17"/>
        <v>Household</v>
      </c>
      <c r="H549" s="25">
        <v>4.42</v>
      </c>
      <c r="I549" s="6">
        <v>18</v>
      </c>
      <c r="J549" s="25">
        <v>5.57</v>
      </c>
      <c r="K549" s="25">
        <v>85.13</v>
      </c>
      <c r="L549" s="9">
        <v>8</v>
      </c>
      <c r="M549" s="39" t="str">
        <f t="shared" si="16"/>
        <v>Normal Transaction</v>
      </c>
    </row>
    <row r="550" spans="1:13" x14ac:dyDescent="0.35">
      <c r="A550" s="27">
        <v>549</v>
      </c>
      <c r="B550" s="2" t="s">
        <v>31</v>
      </c>
      <c r="C550" s="2" t="s">
        <v>1</v>
      </c>
      <c r="D550" s="2" t="s">
        <v>2</v>
      </c>
      <c r="E550" s="2" t="s">
        <v>9</v>
      </c>
      <c r="F550" s="9" t="s">
        <v>17</v>
      </c>
      <c r="G550" s="9" t="str">
        <f t="shared" si="17"/>
        <v>Beverages</v>
      </c>
      <c r="H550" s="25">
        <v>14.48</v>
      </c>
      <c r="I550" s="6">
        <v>7</v>
      </c>
      <c r="J550" s="25">
        <v>7.1</v>
      </c>
      <c r="K550" s="25">
        <v>108.46</v>
      </c>
      <c r="L550" s="9">
        <v>10</v>
      </c>
      <c r="M550" s="39" t="str">
        <f t="shared" si="16"/>
        <v>Normal Transaction</v>
      </c>
    </row>
    <row r="551" spans="1:13" x14ac:dyDescent="0.35">
      <c r="A551" s="27">
        <v>550</v>
      </c>
      <c r="B551" s="2" t="s">
        <v>6</v>
      </c>
      <c r="C551" s="2" t="s">
        <v>7</v>
      </c>
      <c r="D551" s="2" t="s">
        <v>2</v>
      </c>
      <c r="E551" s="2" t="s">
        <v>9</v>
      </c>
      <c r="F551" s="9" t="s">
        <v>4</v>
      </c>
      <c r="G551" s="9" t="str">
        <f t="shared" si="17"/>
        <v>Personal Care</v>
      </c>
      <c r="H551" s="25">
        <v>3.05</v>
      </c>
      <c r="I551" s="6">
        <v>17</v>
      </c>
      <c r="J551" s="25">
        <v>3.63</v>
      </c>
      <c r="K551" s="25">
        <v>55.48</v>
      </c>
      <c r="L551" s="9">
        <v>5</v>
      </c>
      <c r="M551" s="39" t="str">
        <f t="shared" si="16"/>
        <v>Normal Transaction</v>
      </c>
    </row>
    <row r="552" spans="1:13" x14ac:dyDescent="0.35">
      <c r="A552" s="27">
        <v>551</v>
      </c>
      <c r="B552" s="2" t="s">
        <v>0</v>
      </c>
      <c r="C552" s="2" t="s">
        <v>14</v>
      </c>
      <c r="D552" s="2" t="s">
        <v>8</v>
      </c>
      <c r="E552" s="2" t="s">
        <v>9</v>
      </c>
      <c r="F552" s="9" t="s">
        <v>12</v>
      </c>
      <c r="G552" s="9" t="str">
        <f t="shared" si="17"/>
        <v>Fruits</v>
      </c>
      <c r="H552" s="25">
        <v>9.83</v>
      </c>
      <c r="I552" s="6">
        <v>13</v>
      </c>
      <c r="J552" s="25">
        <v>8.9499999999999993</v>
      </c>
      <c r="K552" s="25">
        <v>136.74</v>
      </c>
      <c r="L552" s="9">
        <v>0</v>
      </c>
      <c r="M552" s="39" t="str">
        <f t="shared" si="16"/>
        <v>Normal Transaction</v>
      </c>
    </row>
    <row r="553" spans="1:13" x14ac:dyDescent="0.35">
      <c r="A553" s="27">
        <v>552</v>
      </c>
      <c r="B553" s="2" t="s">
        <v>0</v>
      </c>
      <c r="C553" s="2" t="s">
        <v>14</v>
      </c>
      <c r="D553" s="2" t="s">
        <v>2</v>
      </c>
      <c r="E553" s="2" t="s">
        <v>9</v>
      </c>
      <c r="F553" s="9" t="s">
        <v>10</v>
      </c>
      <c r="G553" s="9" t="str">
        <f t="shared" si="17"/>
        <v>Stationery</v>
      </c>
      <c r="H553" s="25">
        <v>9</v>
      </c>
      <c r="I553" s="6">
        <v>1</v>
      </c>
      <c r="J553" s="25">
        <v>0.63</v>
      </c>
      <c r="K553" s="25">
        <v>9.6300000000000008</v>
      </c>
      <c r="L553" s="9">
        <v>0</v>
      </c>
      <c r="M553" s="39" t="str">
        <f t="shared" si="16"/>
        <v>Normal Transaction</v>
      </c>
    </row>
    <row r="554" spans="1:13" x14ac:dyDescent="0.35">
      <c r="A554" s="27">
        <v>553</v>
      </c>
      <c r="B554" s="2" t="s">
        <v>31</v>
      </c>
      <c r="C554" s="2" t="s">
        <v>1</v>
      </c>
      <c r="D554" s="2" t="s">
        <v>8</v>
      </c>
      <c r="E554" s="2" t="s">
        <v>3</v>
      </c>
      <c r="F554" s="9" t="s">
        <v>10</v>
      </c>
      <c r="G554" s="9" t="str">
        <f t="shared" si="17"/>
        <v>Stationery</v>
      </c>
      <c r="H554" s="25">
        <v>4.1900000000000004</v>
      </c>
      <c r="I554" s="6">
        <v>17</v>
      </c>
      <c r="J554" s="25">
        <v>4.99</v>
      </c>
      <c r="K554" s="25">
        <v>76.22</v>
      </c>
      <c r="L554" s="9">
        <v>0</v>
      </c>
      <c r="M554" s="39" t="str">
        <f t="shared" si="16"/>
        <v>Normal Transaction</v>
      </c>
    </row>
    <row r="555" spans="1:13" x14ac:dyDescent="0.35">
      <c r="A555" s="27">
        <v>554</v>
      </c>
      <c r="B555" s="2" t="s">
        <v>31</v>
      </c>
      <c r="C555" s="2" t="s">
        <v>1</v>
      </c>
      <c r="D555" s="2" t="s">
        <v>8</v>
      </c>
      <c r="E555" s="2" t="s">
        <v>3</v>
      </c>
      <c r="F555" s="9" t="s">
        <v>12</v>
      </c>
      <c r="G555" s="9" t="str">
        <f t="shared" si="17"/>
        <v>Fruits</v>
      </c>
      <c r="H555" s="25">
        <v>20.87</v>
      </c>
      <c r="I555" s="6">
        <v>1</v>
      </c>
      <c r="J555" s="25">
        <v>1.46</v>
      </c>
      <c r="K555" s="25">
        <v>22.33</v>
      </c>
      <c r="L555" s="9">
        <v>0</v>
      </c>
      <c r="M555" s="39" t="str">
        <f t="shared" si="16"/>
        <v>Normal Transaction</v>
      </c>
    </row>
    <row r="556" spans="1:13" x14ac:dyDescent="0.35">
      <c r="A556" s="27">
        <v>555</v>
      </c>
      <c r="B556" s="2" t="s">
        <v>31</v>
      </c>
      <c r="C556" s="2" t="s">
        <v>1</v>
      </c>
      <c r="D556" s="2" t="s">
        <v>8</v>
      </c>
      <c r="E556" s="2" t="s">
        <v>9</v>
      </c>
      <c r="F556" s="9" t="s">
        <v>15</v>
      </c>
      <c r="G556" s="9" t="str">
        <f t="shared" si="17"/>
        <v>Household</v>
      </c>
      <c r="H556" s="25">
        <v>13.19</v>
      </c>
      <c r="I556" s="6">
        <v>16</v>
      </c>
      <c r="J556" s="25">
        <v>14.77</v>
      </c>
      <c r="K556" s="25">
        <v>225.81</v>
      </c>
      <c r="L556" s="9">
        <v>0</v>
      </c>
      <c r="M556" s="39" t="str">
        <f t="shared" si="16"/>
        <v>Normal Transaction</v>
      </c>
    </row>
    <row r="557" spans="1:13" x14ac:dyDescent="0.35">
      <c r="A557" s="27">
        <v>556</v>
      </c>
      <c r="B557" s="2" t="s">
        <v>0</v>
      </c>
      <c r="C557" s="2" t="s">
        <v>14</v>
      </c>
      <c r="D557" s="2" t="s">
        <v>2</v>
      </c>
      <c r="E557" s="2" t="s">
        <v>3</v>
      </c>
      <c r="F557" s="9" t="s">
        <v>12</v>
      </c>
      <c r="G557" s="9" t="str">
        <f t="shared" si="17"/>
        <v>Fruits</v>
      </c>
      <c r="H557" s="25">
        <v>11.38</v>
      </c>
      <c r="I557" s="6">
        <v>7</v>
      </c>
      <c r="J557" s="25">
        <v>5.58</v>
      </c>
      <c r="K557" s="25">
        <v>85.24</v>
      </c>
      <c r="L557" s="9">
        <v>8</v>
      </c>
      <c r="M557" s="39" t="str">
        <f t="shared" si="16"/>
        <v>Normal Transaction</v>
      </c>
    </row>
    <row r="558" spans="1:13" x14ac:dyDescent="0.35">
      <c r="A558" s="27">
        <v>557</v>
      </c>
      <c r="B558" s="2" t="s">
        <v>0</v>
      </c>
      <c r="C558" s="2" t="s">
        <v>14</v>
      </c>
      <c r="D558" s="2" t="s">
        <v>8</v>
      </c>
      <c r="E558" s="2" t="s">
        <v>9</v>
      </c>
      <c r="F558" s="9" t="s">
        <v>10</v>
      </c>
      <c r="G558" s="9" t="str">
        <f t="shared" si="17"/>
        <v>Stationery</v>
      </c>
      <c r="H558" s="25">
        <v>2.77</v>
      </c>
      <c r="I558" s="6">
        <v>19</v>
      </c>
      <c r="J558" s="25">
        <v>3.68</v>
      </c>
      <c r="K558" s="25">
        <v>56.31</v>
      </c>
      <c r="L558" s="9">
        <v>0</v>
      </c>
      <c r="M558" s="39" t="str">
        <f t="shared" si="16"/>
        <v>Normal Transaction</v>
      </c>
    </row>
    <row r="559" spans="1:13" x14ac:dyDescent="0.35">
      <c r="A559" s="27">
        <v>558</v>
      </c>
      <c r="B559" s="2" t="s">
        <v>6</v>
      </c>
      <c r="C559" s="2" t="s">
        <v>7</v>
      </c>
      <c r="D559" s="2" t="s">
        <v>8</v>
      </c>
      <c r="E559" s="2" t="s">
        <v>9</v>
      </c>
      <c r="F559" s="9" t="s">
        <v>15</v>
      </c>
      <c r="G559" s="9" t="str">
        <f t="shared" si="17"/>
        <v>Household</v>
      </c>
      <c r="H559" s="25">
        <v>15.56</v>
      </c>
      <c r="I559" s="6">
        <v>1</v>
      </c>
      <c r="J559" s="25">
        <v>1.0900000000000001</v>
      </c>
      <c r="K559" s="25">
        <v>16.649999999999999</v>
      </c>
      <c r="L559" s="9">
        <v>0</v>
      </c>
      <c r="M559" s="39" t="str">
        <f t="shared" si="16"/>
        <v>Normal Transaction</v>
      </c>
    </row>
    <row r="560" spans="1:13" x14ac:dyDescent="0.35">
      <c r="A560" s="27">
        <v>559</v>
      </c>
      <c r="B560" s="2" t="s">
        <v>31</v>
      </c>
      <c r="C560" s="2" t="s">
        <v>1</v>
      </c>
      <c r="D560" s="2" t="s">
        <v>8</v>
      </c>
      <c r="E560" s="2" t="s">
        <v>9</v>
      </c>
      <c r="F560" s="9" t="s">
        <v>12</v>
      </c>
      <c r="G560" s="9" t="str">
        <f t="shared" si="17"/>
        <v>Fruits</v>
      </c>
      <c r="H560" s="25">
        <v>5.88</v>
      </c>
      <c r="I560" s="6">
        <v>19</v>
      </c>
      <c r="J560" s="25">
        <v>7.82</v>
      </c>
      <c r="K560" s="25">
        <v>119.54</v>
      </c>
      <c r="L560" s="9">
        <v>0</v>
      </c>
      <c r="M560" s="39" t="str">
        <f t="shared" si="16"/>
        <v>Normal Transaction</v>
      </c>
    </row>
    <row r="561" spans="1:13" x14ac:dyDescent="0.35">
      <c r="A561" s="27">
        <v>560</v>
      </c>
      <c r="B561" s="2" t="s">
        <v>31</v>
      </c>
      <c r="C561" s="2" t="s">
        <v>1</v>
      </c>
      <c r="D561" s="2" t="s">
        <v>8</v>
      </c>
      <c r="E561" s="2" t="s">
        <v>3</v>
      </c>
      <c r="F561" s="9" t="s">
        <v>10</v>
      </c>
      <c r="G561" s="9" t="str">
        <f t="shared" si="17"/>
        <v>Stationery</v>
      </c>
      <c r="H561" s="25">
        <v>19.03</v>
      </c>
      <c r="I561" s="6">
        <v>13</v>
      </c>
      <c r="J561" s="25">
        <v>17.32</v>
      </c>
      <c r="K561" s="25">
        <v>264.70999999999998</v>
      </c>
      <c r="L561" s="9">
        <v>0</v>
      </c>
      <c r="M561" s="39" t="str">
        <f t="shared" si="16"/>
        <v>Normal Transaction</v>
      </c>
    </row>
    <row r="562" spans="1:13" x14ac:dyDescent="0.35">
      <c r="A562" s="27">
        <v>561</v>
      </c>
      <c r="B562" s="2" t="s">
        <v>31</v>
      </c>
      <c r="C562" s="2" t="s">
        <v>1</v>
      </c>
      <c r="D562" s="2" t="s">
        <v>2</v>
      </c>
      <c r="E562" s="2" t="s">
        <v>9</v>
      </c>
      <c r="F562" s="9" t="s">
        <v>12</v>
      </c>
      <c r="G562" s="9" t="str">
        <f t="shared" si="17"/>
        <v>Fruits</v>
      </c>
      <c r="H562" s="25">
        <v>16.48</v>
      </c>
      <c r="I562" s="6">
        <v>13</v>
      </c>
      <c r="J562" s="25">
        <v>15</v>
      </c>
      <c r="K562" s="25">
        <v>229.24</v>
      </c>
      <c r="L562" s="9">
        <v>22</v>
      </c>
      <c r="M562" s="39" t="str">
        <f t="shared" si="16"/>
        <v>Normal Transaction</v>
      </c>
    </row>
    <row r="563" spans="1:13" x14ac:dyDescent="0.35">
      <c r="A563" s="27">
        <v>562</v>
      </c>
      <c r="B563" s="2" t="s">
        <v>6</v>
      </c>
      <c r="C563" s="2" t="s">
        <v>7</v>
      </c>
      <c r="D563" s="2" t="s">
        <v>2</v>
      </c>
      <c r="E563" s="2" t="s">
        <v>9</v>
      </c>
      <c r="F563" s="9" t="s">
        <v>4</v>
      </c>
      <c r="G563" s="9" t="str">
        <f t="shared" si="17"/>
        <v>Personal Care</v>
      </c>
      <c r="H563" s="25">
        <v>3.19</v>
      </c>
      <c r="I563" s="6">
        <v>5</v>
      </c>
      <c r="J563" s="25">
        <v>1.1200000000000001</v>
      </c>
      <c r="K563" s="25">
        <v>17.07</v>
      </c>
      <c r="L563" s="9">
        <v>1</v>
      </c>
      <c r="M563" s="39" t="str">
        <f t="shared" si="16"/>
        <v>Normal Transaction</v>
      </c>
    </row>
    <row r="564" spans="1:13" x14ac:dyDescent="0.35">
      <c r="A564" s="27">
        <v>563</v>
      </c>
      <c r="B564" s="2" t="s">
        <v>6</v>
      </c>
      <c r="C564" s="2" t="s">
        <v>7</v>
      </c>
      <c r="D564" s="2" t="s">
        <v>2</v>
      </c>
      <c r="E564" s="2" t="s">
        <v>9</v>
      </c>
      <c r="F564" s="9" t="s">
        <v>10</v>
      </c>
      <c r="G564" s="9" t="str">
        <f t="shared" si="17"/>
        <v>Stationery</v>
      </c>
      <c r="H564" s="25">
        <v>18.260000000000002</v>
      </c>
      <c r="I564" s="6">
        <v>2</v>
      </c>
      <c r="J564" s="25">
        <v>2.56</v>
      </c>
      <c r="K564" s="25">
        <v>39.08</v>
      </c>
      <c r="L564" s="9">
        <v>3</v>
      </c>
      <c r="M564" s="39" t="str">
        <f t="shared" si="16"/>
        <v>Normal Transaction</v>
      </c>
    </row>
    <row r="565" spans="1:13" x14ac:dyDescent="0.35">
      <c r="A565" s="27">
        <v>564</v>
      </c>
      <c r="B565" s="2" t="s">
        <v>0</v>
      </c>
      <c r="C565" s="2" t="s">
        <v>14</v>
      </c>
      <c r="D565" s="2" t="s">
        <v>8</v>
      </c>
      <c r="E565" s="2" t="s">
        <v>3</v>
      </c>
      <c r="F565" s="9" t="s">
        <v>4</v>
      </c>
      <c r="G565" s="9" t="str">
        <f t="shared" si="17"/>
        <v>Personal Care</v>
      </c>
      <c r="H565" s="25">
        <v>8.73</v>
      </c>
      <c r="I565" s="6">
        <v>20</v>
      </c>
      <c r="J565" s="25">
        <v>12.22</v>
      </c>
      <c r="K565" s="25">
        <v>186.82</v>
      </c>
      <c r="L565" s="9">
        <v>0</v>
      </c>
      <c r="M565" s="39" t="str">
        <f t="shared" si="16"/>
        <v>Normal Transaction</v>
      </c>
    </row>
    <row r="566" spans="1:13" x14ac:dyDescent="0.35">
      <c r="A566" s="27">
        <v>565</v>
      </c>
      <c r="B566" s="2" t="s">
        <v>31</v>
      </c>
      <c r="C566" s="2" t="s">
        <v>1</v>
      </c>
      <c r="D566" s="2" t="s">
        <v>8</v>
      </c>
      <c r="E566" s="2" t="s">
        <v>3</v>
      </c>
      <c r="F566" s="9" t="s">
        <v>10</v>
      </c>
      <c r="G566" s="9" t="str">
        <f t="shared" si="17"/>
        <v>Stationery</v>
      </c>
      <c r="H566" s="25">
        <v>9.9499999999999993</v>
      </c>
      <c r="I566" s="6">
        <v>12</v>
      </c>
      <c r="J566" s="25">
        <v>8.36</v>
      </c>
      <c r="K566" s="25">
        <v>127.76</v>
      </c>
      <c r="L566" s="9">
        <v>0</v>
      </c>
      <c r="M566" s="39" t="str">
        <f t="shared" si="16"/>
        <v>Normal Transaction</v>
      </c>
    </row>
    <row r="567" spans="1:13" x14ac:dyDescent="0.35">
      <c r="A567" s="27">
        <v>566</v>
      </c>
      <c r="B567" s="2" t="s">
        <v>0</v>
      </c>
      <c r="C567" s="2" t="s">
        <v>14</v>
      </c>
      <c r="D567" s="2" t="s">
        <v>2</v>
      </c>
      <c r="E567" s="2" t="s">
        <v>3</v>
      </c>
      <c r="F567" s="9" t="s">
        <v>17</v>
      </c>
      <c r="G567" s="9" t="str">
        <f t="shared" si="17"/>
        <v>Beverages</v>
      </c>
      <c r="H567" s="25">
        <v>5.63</v>
      </c>
      <c r="I567" s="6">
        <v>18</v>
      </c>
      <c r="J567" s="25">
        <v>7.09</v>
      </c>
      <c r="K567" s="25">
        <v>108.43</v>
      </c>
      <c r="L567" s="9">
        <v>10</v>
      </c>
      <c r="M567" s="39" t="str">
        <f t="shared" si="16"/>
        <v>Normal Transaction</v>
      </c>
    </row>
    <row r="568" spans="1:13" x14ac:dyDescent="0.35">
      <c r="A568" s="27">
        <v>567</v>
      </c>
      <c r="B568" s="2" t="s">
        <v>0</v>
      </c>
      <c r="C568" s="2" t="s">
        <v>14</v>
      </c>
      <c r="D568" s="2" t="s">
        <v>8</v>
      </c>
      <c r="E568" s="2" t="s">
        <v>3</v>
      </c>
      <c r="F568" s="9" t="s">
        <v>4</v>
      </c>
      <c r="G568" s="9" t="str">
        <f t="shared" si="17"/>
        <v>Personal Care</v>
      </c>
      <c r="H568" s="25">
        <v>17.190000000000001</v>
      </c>
      <c r="I568" s="6">
        <v>8</v>
      </c>
      <c r="J568" s="25">
        <v>9.6300000000000008</v>
      </c>
      <c r="K568" s="25">
        <v>147.15</v>
      </c>
      <c r="L568" s="9">
        <v>0</v>
      </c>
      <c r="M568" s="39" t="str">
        <f t="shared" si="16"/>
        <v>Normal Transaction</v>
      </c>
    </row>
    <row r="569" spans="1:13" x14ac:dyDescent="0.35">
      <c r="A569" s="27">
        <v>568</v>
      </c>
      <c r="B569" s="2" t="s">
        <v>6</v>
      </c>
      <c r="C569" s="2" t="s">
        <v>7</v>
      </c>
      <c r="D569" s="2" t="s">
        <v>8</v>
      </c>
      <c r="E569" s="2" t="s">
        <v>3</v>
      </c>
      <c r="F569" s="9" t="s">
        <v>12</v>
      </c>
      <c r="G569" s="9" t="str">
        <f t="shared" si="17"/>
        <v>Fruits</v>
      </c>
      <c r="H569" s="25">
        <v>15</v>
      </c>
      <c r="I569" s="6">
        <v>12</v>
      </c>
      <c r="J569" s="25">
        <v>12.6</v>
      </c>
      <c r="K569" s="25">
        <v>192.6</v>
      </c>
      <c r="L569" s="9">
        <v>0</v>
      </c>
      <c r="M569" s="39" t="str">
        <f t="shared" si="16"/>
        <v>Normal Transaction</v>
      </c>
    </row>
    <row r="570" spans="1:13" x14ac:dyDescent="0.35">
      <c r="A570" s="27">
        <v>569</v>
      </c>
      <c r="B570" s="2" t="s">
        <v>6</v>
      </c>
      <c r="C570" s="2" t="s">
        <v>7</v>
      </c>
      <c r="D570" s="2" t="s">
        <v>8</v>
      </c>
      <c r="E570" s="2" t="s">
        <v>9</v>
      </c>
      <c r="F570" s="9" t="s">
        <v>17</v>
      </c>
      <c r="G570" s="9" t="str">
        <f t="shared" si="17"/>
        <v>Beverages</v>
      </c>
      <c r="H570" s="25">
        <v>4.28</v>
      </c>
      <c r="I570" s="6">
        <v>17</v>
      </c>
      <c r="J570" s="25">
        <v>5.09</v>
      </c>
      <c r="K570" s="25">
        <v>77.849999999999994</v>
      </c>
      <c r="L570" s="9">
        <v>0</v>
      </c>
      <c r="M570" s="39" t="str">
        <f t="shared" si="16"/>
        <v>Normal Transaction</v>
      </c>
    </row>
    <row r="571" spans="1:13" x14ac:dyDescent="0.35">
      <c r="A571" s="27">
        <v>570</v>
      </c>
      <c r="B571" s="2" t="s">
        <v>6</v>
      </c>
      <c r="C571" s="2" t="s">
        <v>7</v>
      </c>
      <c r="D571" s="2" t="s">
        <v>2</v>
      </c>
      <c r="E571" s="2" t="s">
        <v>9</v>
      </c>
      <c r="F571" s="9" t="s">
        <v>10</v>
      </c>
      <c r="G571" s="9" t="str">
        <f t="shared" si="17"/>
        <v>Stationery</v>
      </c>
      <c r="H571" s="25">
        <v>4.47</v>
      </c>
      <c r="I571" s="6">
        <v>14</v>
      </c>
      <c r="J571" s="25">
        <v>4.38</v>
      </c>
      <c r="K571" s="25">
        <v>66.959999999999994</v>
      </c>
      <c r="L571" s="9">
        <v>6</v>
      </c>
      <c r="M571" s="39" t="str">
        <f t="shared" si="16"/>
        <v>Normal Transaction</v>
      </c>
    </row>
    <row r="572" spans="1:13" x14ac:dyDescent="0.35">
      <c r="A572" s="27">
        <v>571</v>
      </c>
      <c r="B572" s="2" t="s">
        <v>6</v>
      </c>
      <c r="C572" s="2" t="s">
        <v>7</v>
      </c>
      <c r="D572" s="2" t="s">
        <v>2</v>
      </c>
      <c r="E572" s="2" t="s">
        <v>3</v>
      </c>
      <c r="F572" s="9" t="s">
        <v>12</v>
      </c>
      <c r="G572" s="9" t="str">
        <f t="shared" si="17"/>
        <v>Fruits</v>
      </c>
      <c r="H572" s="25">
        <v>17.489999999999998</v>
      </c>
      <c r="I572" s="6">
        <v>1</v>
      </c>
      <c r="J572" s="25">
        <v>1.22</v>
      </c>
      <c r="K572" s="25">
        <v>18.71</v>
      </c>
      <c r="L572" s="9">
        <v>1</v>
      </c>
      <c r="M572" s="39" t="str">
        <f t="shared" si="16"/>
        <v>Normal Transaction</v>
      </c>
    </row>
    <row r="573" spans="1:13" x14ac:dyDescent="0.35">
      <c r="A573" s="27">
        <v>572</v>
      </c>
      <c r="B573" s="2" t="s">
        <v>6</v>
      </c>
      <c r="C573" s="2" t="s">
        <v>7</v>
      </c>
      <c r="D573" s="2" t="s">
        <v>8</v>
      </c>
      <c r="E573" s="2" t="s">
        <v>9</v>
      </c>
      <c r="F573" s="9" t="s">
        <v>4</v>
      </c>
      <c r="G573" s="9" t="str">
        <f t="shared" si="17"/>
        <v>Personal Care</v>
      </c>
      <c r="H573" s="25">
        <v>11.72</v>
      </c>
      <c r="I573" s="6">
        <v>7</v>
      </c>
      <c r="J573" s="25">
        <v>5.74</v>
      </c>
      <c r="K573" s="25">
        <v>87.78</v>
      </c>
      <c r="L573" s="9">
        <v>0</v>
      </c>
      <c r="M573" s="39" t="str">
        <f t="shared" si="16"/>
        <v>Normal Transaction</v>
      </c>
    </row>
    <row r="574" spans="1:13" x14ac:dyDescent="0.35">
      <c r="A574" s="27">
        <v>573</v>
      </c>
      <c r="B574" s="2" t="s">
        <v>31</v>
      </c>
      <c r="C574" s="2" t="s">
        <v>1</v>
      </c>
      <c r="D574" s="2" t="s">
        <v>2</v>
      </c>
      <c r="E574" s="2" t="s">
        <v>9</v>
      </c>
      <c r="F574" s="9" t="s">
        <v>4</v>
      </c>
      <c r="G574" s="9" t="str">
        <f t="shared" si="17"/>
        <v>Personal Care</v>
      </c>
      <c r="H574" s="25">
        <v>17.25</v>
      </c>
      <c r="I574" s="6">
        <v>9</v>
      </c>
      <c r="J574" s="25">
        <v>10.87</v>
      </c>
      <c r="K574" s="25">
        <v>166.12</v>
      </c>
      <c r="L574" s="9">
        <v>16</v>
      </c>
      <c r="M574" s="39" t="str">
        <f t="shared" si="16"/>
        <v>Normal Transaction</v>
      </c>
    </row>
    <row r="575" spans="1:13" x14ac:dyDescent="0.35">
      <c r="A575" s="27">
        <v>574</v>
      </c>
      <c r="B575" s="2" t="s">
        <v>6</v>
      </c>
      <c r="C575" s="2" t="s">
        <v>7</v>
      </c>
      <c r="D575" s="2" t="s">
        <v>8</v>
      </c>
      <c r="E575" s="2" t="s">
        <v>9</v>
      </c>
      <c r="F575" s="9" t="s">
        <v>10</v>
      </c>
      <c r="G575" s="9" t="str">
        <f t="shared" si="17"/>
        <v>Stationery</v>
      </c>
      <c r="H575" s="25">
        <v>11.99</v>
      </c>
      <c r="I575" s="6">
        <v>19</v>
      </c>
      <c r="J575" s="25">
        <v>15.95</v>
      </c>
      <c r="K575" s="25">
        <v>243.76</v>
      </c>
      <c r="L575" s="9">
        <v>0</v>
      </c>
      <c r="M575" s="39" t="str">
        <f t="shared" si="16"/>
        <v>Normal Transaction</v>
      </c>
    </row>
    <row r="576" spans="1:13" x14ac:dyDescent="0.35">
      <c r="A576" s="27">
        <v>575</v>
      </c>
      <c r="B576" s="2" t="s">
        <v>6</v>
      </c>
      <c r="C576" s="2" t="s">
        <v>7</v>
      </c>
      <c r="D576" s="2" t="s">
        <v>8</v>
      </c>
      <c r="E576" s="2" t="s">
        <v>3</v>
      </c>
      <c r="F576" s="9" t="s">
        <v>4</v>
      </c>
      <c r="G576" s="9" t="str">
        <f t="shared" si="17"/>
        <v>Personal Care</v>
      </c>
      <c r="H576" s="25">
        <v>8.2899999999999991</v>
      </c>
      <c r="I576" s="6">
        <v>10</v>
      </c>
      <c r="J576" s="25">
        <v>5.8</v>
      </c>
      <c r="K576" s="25">
        <v>88.7</v>
      </c>
      <c r="L576" s="9">
        <v>0</v>
      </c>
      <c r="M576" s="39" t="str">
        <f t="shared" si="16"/>
        <v>Normal Transaction</v>
      </c>
    </row>
    <row r="577" spans="1:13" x14ac:dyDescent="0.35">
      <c r="A577" s="27">
        <v>576</v>
      </c>
      <c r="B577" s="2" t="s">
        <v>6</v>
      </c>
      <c r="C577" s="2" t="s">
        <v>7</v>
      </c>
      <c r="D577" s="2" t="s">
        <v>8</v>
      </c>
      <c r="E577" s="2" t="s">
        <v>3</v>
      </c>
      <c r="F577" s="9" t="s">
        <v>17</v>
      </c>
      <c r="G577" s="9" t="str">
        <f t="shared" si="17"/>
        <v>Beverages</v>
      </c>
      <c r="H577" s="25">
        <v>6.18</v>
      </c>
      <c r="I577" s="6">
        <v>3</v>
      </c>
      <c r="J577" s="25">
        <v>1.3</v>
      </c>
      <c r="K577" s="25">
        <v>19.84</v>
      </c>
      <c r="L577" s="9">
        <v>0</v>
      </c>
      <c r="M577" s="39" t="str">
        <f t="shared" si="16"/>
        <v>Normal Transaction</v>
      </c>
    </row>
    <row r="578" spans="1:13" x14ac:dyDescent="0.35">
      <c r="A578" s="27">
        <v>577</v>
      </c>
      <c r="B578" s="2" t="s">
        <v>0</v>
      </c>
      <c r="C578" s="2" t="s">
        <v>14</v>
      </c>
      <c r="D578" s="2" t="s">
        <v>2</v>
      </c>
      <c r="E578" s="2" t="s">
        <v>3</v>
      </c>
      <c r="F578" s="9" t="s">
        <v>10</v>
      </c>
      <c r="G578" s="9" t="str">
        <f t="shared" si="17"/>
        <v>Stationery</v>
      </c>
      <c r="H578" s="25">
        <v>17.72</v>
      </c>
      <c r="I578" s="6">
        <v>7</v>
      </c>
      <c r="J578" s="25">
        <v>8.68</v>
      </c>
      <c r="K578" s="25">
        <v>132.72</v>
      </c>
      <c r="L578" s="9">
        <v>13</v>
      </c>
      <c r="M578" s="39" t="str">
        <f t="shared" ref="M578:M641" si="18">IF(K578 &gt; 382.93, "Outlier (Extreme Spend)", "Normal Transaction")</f>
        <v>Normal Transaction</v>
      </c>
    </row>
    <row r="579" spans="1:13" x14ac:dyDescent="0.35">
      <c r="A579" s="27">
        <v>578</v>
      </c>
      <c r="B579" s="2" t="s">
        <v>0</v>
      </c>
      <c r="C579" s="2" t="s">
        <v>14</v>
      </c>
      <c r="D579" s="2" t="s">
        <v>2</v>
      </c>
      <c r="E579" s="2" t="s">
        <v>3</v>
      </c>
      <c r="F579" s="9" t="s">
        <v>17</v>
      </c>
      <c r="G579" s="9" t="str">
        <f t="shared" ref="G579:G642" si="19">_xlfn.XLOOKUP(F579,$Q$2:$Q$6,$R$2:$R$6,"Unknown")</f>
        <v>Beverages</v>
      </c>
      <c r="H579" s="25">
        <v>12.14</v>
      </c>
      <c r="I579" s="6">
        <v>14</v>
      </c>
      <c r="J579" s="25">
        <v>11.9</v>
      </c>
      <c r="K579" s="25">
        <v>181.86</v>
      </c>
      <c r="L579" s="9">
        <v>18</v>
      </c>
      <c r="M579" s="39" t="str">
        <f t="shared" si="18"/>
        <v>Normal Transaction</v>
      </c>
    </row>
    <row r="580" spans="1:13" x14ac:dyDescent="0.35">
      <c r="A580" s="27">
        <v>579</v>
      </c>
      <c r="B580" s="2" t="s">
        <v>6</v>
      </c>
      <c r="C580" s="2" t="s">
        <v>7</v>
      </c>
      <c r="D580" s="2" t="s">
        <v>8</v>
      </c>
      <c r="E580" s="2" t="s">
        <v>9</v>
      </c>
      <c r="F580" s="9" t="s">
        <v>4</v>
      </c>
      <c r="G580" s="9" t="str">
        <f t="shared" si="19"/>
        <v>Personal Care</v>
      </c>
      <c r="H580" s="25">
        <v>9.73</v>
      </c>
      <c r="I580" s="6">
        <v>15</v>
      </c>
      <c r="J580" s="25">
        <v>10.220000000000001</v>
      </c>
      <c r="K580" s="25">
        <v>156.16999999999999</v>
      </c>
      <c r="L580" s="9">
        <v>0</v>
      </c>
      <c r="M580" s="39" t="str">
        <f t="shared" si="18"/>
        <v>Normal Transaction</v>
      </c>
    </row>
    <row r="581" spans="1:13" x14ac:dyDescent="0.35">
      <c r="A581" s="27">
        <v>580</v>
      </c>
      <c r="B581" s="2" t="s">
        <v>0</v>
      </c>
      <c r="C581" s="2" t="s">
        <v>14</v>
      </c>
      <c r="D581" s="2" t="s">
        <v>2</v>
      </c>
      <c r="E581" s="2" t="s">
        <v>3</v>
      </c>
      <c r="F581" s="9" t="s">
        <v>10</v>
      </c>
      <c r="G581" s="9" t="str">
        <f t="shared" si="19"/>
        <v>Stationery</v>
      </c>
      <c r="H581" s="25">
        <v>19.670000000000002</v>
      </c>
      <c r="I581" s="6">
        <v>5</v>
      </c>
      <c r="J581" s="25">
        <v>6.88</v>
      </c>
      <c r="K581" s="25">
        <v>105.23</v>
      </c>
      <c r="L581" s="9">
        <v>10</v>
      </c>
      <c r="M581" s="39" t="str">
        <f t="shared" si="18"/>
        <v>Normal Transaction</v>
      </c>
    </row>
    <row r="582" spans="1:13" x14ac:dyDescent="0.35">
      <c r="A582" s="27">
        <v>581</v>
      </c>
      <c r="B582" s="2" t="s">
        <v>6</v>
      </c>
      <c r="C582" s="2" t="s">
        <v>7</v>
      </c>
      <c r="D582" s="2" t="s">
        <v>8</v>
      </c>
      <c r="E582" s="2" t="s">
        <v>9</v>
      </c>
      <c r="F582" s="9" t="s">
        <v>17</v>
      </c>
      <c r="G582" s="9" t="str">
        <f t="shared" si="19"/>
        <v>Beverages</v>
      </c>
      <c r="H582" s="25">
        <v>1.35</v>
      </c>
      <c r="I582" s="6">
        <v>17</v>
      </c>
      <c r="J582" s="25">
        <v>1.61</v>
      </c>
      <c r="K582" s="25">
        <v>24.56</v>
      </c>
      <c r="L582" s="9">
        <v>0</v>
      </c>
      <c r="M582" s="39" t="str">
        <f t="shared" si="18"/>
        <v>Normal Transaction</v>
      </c>
    </row>
    <row r="583" spans="1:13" x14ac:dyDescent="0.35">
      <c r="A583" s="27">
        <v>582</v>
      </c>
      <c r="B583" s="2" t="s">
        <v>6</v>
      </c>
      <c r="C583" s="2" t="s">
        <v>7</v>
      </c>
      <c r="D583" s="2" t="s">
        <v>8</v>
      </c>
      <c r="E583" s="2" t="s">
        <v>3</v>
      </c>
      <c r="F583" s="9" t="s">
        <v>17</v>
      </c>
      <c r="G583" s="9" t="str">
        <f t="shared" si="19"/>
        <v>Beverages</v>
      </c>
      <c r="H583" s="25">
        <v>17.95</v>
      </c>
      <c r="I583" s="6">
        <v>5</v>
      </c>
      <c r="J583" s="25">
        <v>6.28</v>
      </c>
      <c r="K583" s="25">
        <v>96.03</v>
      </c>
      <c r="L583" s="9">
        <v>0</v>
      </c>
      <c r="M583" s="39" t="str">
        <f t="shared" si="18"/>
        <v>Normal Transaction</v>
      </c>
    </row>
    <row r="584" spans="1:13" x14ac:dyDescent="0.35">
      <c r="A584" s="27">
        <v>583</v>
      </c>
      <c r="B584" s="2" t="s">
        <v>6</v>
      </c>
      <c r="C584" s="2" t="s">
        <v>7</v>
      </c>
      <c r="D584" s="2" t="s">
        <v>2</v>
      </c>
      <c r="E584" s="2" t="s">
        <v>3</v>
      </c>
      <c r="F584" s="9" t="s">
        <v>12</v>
      </c>
      <c r="G584" s="9" t="str">
        <f t="shared" si="19"/>
        <v>Fruits</v>
      </c>
      <c r="H584" s="25">
        <v>5.98</v>
      </c>
      <c r="I584" s="6">
        <v>17</v>
      </c>
      <c r="J584" s="25">
        <v>7.12</v>
      </c>
      <c r="K584" s="25">
        <v>108.78</v>
      </c>
      <c r="L584" s="9">
        <v>10</v>
      </c>
      <c r="M584" s="39" t="str">
        <f t="shared" si="18"/>
        <v>Normal Transaction</v>
      </c>
    </row>
    <row r="585" spans="1:13" x14ac:dyDescent="0.35">
      <c r="A585" s="27">
        <v>584</v>
      </c>
      <c r="B585" s="2" t="s">
        <v>6</v>
      </c>
      <c r="C585" s="2" t="s">
        <v>7</v>
      </c>
      <c r="D585" s="2" t="s">
        <v>2</v>
      </c>
      <c r="E585" s="2" t="s">
        <v>3</v>
      </c>
      <c r="F585" s="9" t="s">
        <v>10</v>
      </c>
      <c r="G585" s="9" t="str">
        <f t="shared" si="19"/>
        <v>Stationery</v>
      </c>
      <c r="H585" s="25">
        <v>13.82</v>
      </c>
      <c r="I585" s="6">
        <v>20</v>
      </c>
      <c r="J585" s="25">
        <v>19.350000000000001</v>
      </c>
      <c r="K585" s="25">
        <v>295.75</v>
      </c>
      <c r="L585" s="9">
        <v>29</v>
      </c>
      <c r="M585" s="39" t="str">
        <f t="shared" si="18"/>
        <v>Normal Transaction</v>
      </c>
    </row>
    <row r="586" spans="1:13" x14ac:dyDescent="0.35">
      <c r="A586" s="27">
        <v>585</v>
      </c>
      <c r="B586" s="2" t="s">
        <v>6</v>
      </c>
      <c r="C586" s="2" t="s">
        <v>7</v>
      </c>
      <c r="D586" s="2" t="s">
        <v>8</v>
      </c>
      <c r="E586" s="2" t="s">
        <v>3</v>
      </c>
      <c r="F586" s="9" t="s">
        <v>4</v>
      </c>
      <c r="G586" s="9" t="str">
        <f t="shared" si="19"/>
        <v>Personal Care</v>
      </c>
      <c r="H586" s="25">
        <v>10.67</v>
      </c>
      <c r="I586" s="6">
        <v>14</v>
      </c>
      <c r="J586" s="25">
        <v>10.46</v>
      </c>
      <c r="K586" s="25">
        <v>159.84</v>
      </c>
      <c r="L586" s="9">
        <v>0</v>
      </c>
      <c r="M586" s="39" t="str">
        <f t="shared" si="18"/>
        <v>Normal Transaction</v>
      </c>
    </row>
    <row r="587" spans="1:13" x14ac:dyDescent="0.35">
      <c r="A587" s="27">
        <v>586</v>
      </c>
      <c r="B587" s="2" t="s">
        <v>0</v>
      </c>
      <c r="C587" s="2" t="s">
        <v>14</v>
      </c>
      <c r="D587" s="2" t="s">
        <v>8</v>
      </c>
      <c r="E587" s="2" t="s">
        <v>3</v>
      </c>
      <c r="F587" s="9" t="s">
        <v>15</v>
      </c>
      <c r="G587" s="9" t="str">
        <f t="shared" si="19"/>
        <v>Household</v>
      </c>
      <c r="H587" s="25">
        <v>7.58</v>
      </c>
      <c r="I587" s="6">
        <v>12</v>
      </c>
      <c r="J587" s="25">
        <v>6.37</v>
      </c>
      <c r="K587" s="25">
        <v>97.33</v>
      </c>
      <c r="L587" s="9">
        <v>0</v>
      </c>
      <c r="M587" s="39" t="str">
        <f t="shared" si="18"/>
        <v>Normal Transaction</v>
      </c>
    </row>
    <row r="588" spans="1:13" x14ac:dyDescent="0.35">
      <c r="A588" s="27">
        <v>587</v>
      </c>
      <c r="B588" s="2" t="s">
        <v>31</v>
      </c>
      <c r="C588" s="2" t="s">
        <v>1</v>
      </c>
      <c r="D588" s="2" t="s">
        <v>8</v>
      </c>
      <c r="E588" s="2" t="s">
        <v>9</v>
      </c>
      <c r="F588" s="9" t="s">
        <v>12</v>
      </c>
      <c r="G588" s="9" t="str">
        <f t="shared" si="19"/>
        <v>Fruits</v>
      </c>
      <c r="H588" s="25">
        <v>19.989999999999998</v>
      </c>
      <c r="I588" s="6">
        <v>7</v>
      </c>
      <c r="J588" s="25">
        <v>9.8000000000000007</v>
      </c>
      <c r="K588" s="25">
        <v>149.72999999999999</v>
      </c>
      <c r="L588" s="9">
        <v>0</v>
      </c>
      <c r="M588" s="39" t="str">
        <f t="shared" si="18"/>
        <v>Normal Transaction</v>
      </c>
    </row>
    <row r="589" spans="1:13" x14ac:dyDescent="0.35">
      <c r="A589" s="27">
        <v>588</v>
      </c>
      <c r="B589" s="2" t="s">
        <v>6</v>
      </c>
      <c r="C589" s="2" t="s">
        <v>7</v>
      </c>
      <c r="D589" s="2" t="s">
        <v>8</v>
      </c>
      <c r="E589" s="2" t="s">
        <v>3</v>
      </c>
      <c r="F589" s="9" t="s">
        <v>17</v>
      </c>
      <c r="G589" s="9" t="str">
        <f t="shared" si="19"/>
        <v>Beverages</v>
      </c>
      <c r="H589" s="25">
        <v>12.74</v>
      </c>
      <c r="I589" s="6">
        <v>7</v>
      </c>
      <c r="J589" s="25">
        <v>6.24</v>
      </c>
      <c r="K589" s="25">
        <v>95.42</v>
      </c>
      <c r="L589" s="9">
        <v>0</v>
      </c>
      <c r="M589" s="39" t="str">
        <f t="shared" si="18"/>
        <v>Normal Transaction</v>
      </c>
    </row>
    <row r="590" spans="1:13" x14ac:dyDescent="0.35">
      <c r="A590" s="27">
        <v>589</v>
      </c>
      <c r="B590" s="2" t="s">
        <v>31</v>
      </c>
      <c r="C590" s="2" t="s">
        <v>1</v>
      </c>
      <c r="D590" s="2" t="s">
        <v>2</v>
      </c>
      <c r="E590" s="2" t="s">
        <v>3</v>
      </c>
      <c r="F590" s="9" t="s">
        <v>12</v>
      </c>
      <c r="G590" s="9" t="str">
        <f t="shared" si="19"/>
        <v>Fruits</v>
      </c>
      <c r="H590" s="25">
        <v>5.61</v>
      </c>
      <c r="I590" s="6">
        <v>9</v>
      </c>
      <c r="J590" s="25">
        <v>3.53</v>
      </c>
      <c r="K590" s="25">
        <v>54.02</v>
      </c>
      <c r="L590" s="9">
        <v>5</v>
      </c>
      <c r="M590" s="39" t="str">
        <f t="shared" si="18"/>
        <v>Normal Transaction</v>
      </c>
    </row>
    <row r="591" spans="1:13" x14ac:dyDescent="0.35">
      <c r="A591" s="27">
        <v>590</v>
      </c>
      <c r="B591" s="2" t="s">
        <v>6</v>
      </c>
      <c r="C591" s="2" t="s">
        <v>7</v>
      </c>
      <c r="D591" s="2" t="s">
        <v>8</v>
      </c>
      <c r="E591" s="2" t="s">
        <v>3</v>
      </c>
      <c r="F591" s="9" t="s">
        <v>4</v>
      </c>
      <c r="G591" s="9" t="str">
        <f t="shared" si="19"/>
        <v>Personal Care</v>
      </c>
      <c r="H591" s="25">
        <v>2.7</v>
      </c>
      <c r="I591" s="6">
        <v>1</v>
      </c>
      <c r="J591" s="25">
        <v>0.19</v>
      </c>
      <c r="K591" s="25">
        <v>2.89</v>
      </c>
      <c r="L591" s="9">
        <v>0</v>
      </c>
      <c r="M591" s="39" t="str">
        <f t="shared" si="18"/>
        <v>Normal Transaction</v>
      </c>
    </row>
    <row r="592" spans="1:13" x14ac:dyDescent="0.35">
      <c r="A592" s="27">
        <v>591</v>
      </c>
      <c r="B592" s="2" t="s">
        <v>0</v>
      </c>
      <c r="C592" s="2" t="s">
        <v>14</v>
      </c>
      <c r="D592" s="2" t="s">
        <v>8</v>
      </c>
      <c r="E592" s="2" t="s">
        <v>3</v>
      </c>
      <c r="F592" s="9" t="s">
        <v>4</v>
      </c>
      <c r="G592" s="9" t="str">
        <f t="shared" si="19"/>
        <v>Personal Care</v>
      </c>
      <c r="H592" s="25">
        <v>11.33</v>
      </c>
      <c r="I592" s="6">
        <v>8</v>
      </c>
      <c r="J592" s="25">
        <v>6.34</v>
      </c>
      <c r="K592" s="25">
        <v>96.98</v>
      </c>
      <c r="L592" s="9">
        <v>0</v>
      </c>
      <c r="M592" s="39" t="str">
        <f t="shared" si="18"/>
        <v>Normal Transaction</v>
      </c>
    </row>
    <row r="593" spans="1:13" x14ac:dyDescent="0.35">
      <c r="A593" s="27">
        <v>592</v>
      </c>
      <c r="B593" s="2" t="s">
        <v>6</v>
      </c>
      <c r="C593" s="2" t="s">
        <v>7</v>
      </c>
      <c r="D593" s="2" t="s">
        <v>8</v>
      </c>
      <c r="E593" s="2" t="s">
        <v>3</v>
      </c>
      <c r="F593" s="9" t="s">
        <v>10</v>
      </c>
      <c r="G593" s="9" t="str">
        <f t="shared" si="19"/>
        <v>Stationery</v>
      </c>
      <c r="H593" s="25">
        <v>18.91</v>
      </c>
      <c r="I593" s="6">
        <v>14</v>
      </c>
      <c r="J593" s="25">
        <v>18.53</v>
      </c>
      <c r="K593" s="25">
        <v>283.27</v>
      </c>
      <c r="L593" s="9">
        <v>0</v>
      </c>
      <c r="M593" s="39" t="str">
        <f t="shared" si="18"/>
        <v>Normal Transaction</v>
      </c>
    </row>
    <row r="594" spans="1:13" x14ac:dyDescent="0.35">
      <c r="A594" s="27">
        <v>593</v>
      </c>
      <c r="B594" s="2" t="s">
        <v>0</v>
      </c>
      <c r="C594" s="2" t="s">
        <v>14</v>
      </c>
      <c r="D594" s="2" t="s">
        <v>2</v>
      </c>
      <c r="E594" s="2" t="s">
        <v>9</v>
      </c>
      <c r="F594" s="9" t="s">
        <v>12</v>
      </c>
      <c r="G594" s="9" t="str">
        <f t="shared" si="19"/>
        <v>Fruits</v>
      </c>
      <c r="H594" s="25">
        <v>1.38</v>
      </c>
      <c r="I594" s="6">
        <v>18</v>
      </c>
      <c r="J594" s="25">
        <v>1.74</v>
      </c>
      <c r="K594" s="25">
        <v>26.58</v>
      </c>
      <c r="L594" s="9">
        <v>2</v>
      </c>
      <c r="M594" s="39" t="str">
        <f t="shared" si="18"/>
        <v>Normal Transaction</v>
      </c>
    </row>
    <row r="595" spans="1:13" x14ac:dyDescent="0.35">
      <c r="A595" s="27">
        <v>594</v>
      </c>
      <c r="B595" s="2" t="s">
        <v>6</v>
      </c>
      <c r="C595" s="2" t="s">
        <v>7</v>
      </c>
      <c r="D595" s="2" t="s">
        <v>8</v>
      </c>
      <c r="E595" s="2" t="s">
        <v>9</v>
      </c>
      <c r="F595" s="9" t="s">
        <v>15</v>
      </c>
      <c r="G595" s="9" t="str">
        <f t="shared" si="19"/>
        <v>Household</v>
      </c>
      <c r="H595" s="25">
        <v>18.28</v>
      </c>
      <c r="I595" s="6">
        <v>19</v>
      </c>
      <c r="J595" s="25">
        <v>24.31</v>
      </c>
      <c r="K595" s="25">
        <v>371.63</v>
      </c>
      <c r="L595" s="9">
        <v>0</v>
      </c>
      <c r="M595" s="39" t="str">
        <f t="shared" si="18"/>
        <v>Normal Transaction</v>
      </c>
    </row>
    <row r="596" spans="1:13" x14ac:dyDescent="0.35">
      <c r="A596" s="27">
        <v>595</v>
      </c>
      <c r="B596" s="2" t="s">
        <v>31</v>
      </c>
      <c r="C596" s="2" t="s">
        <v>1</v>
      </c>
      <c r="D596" s="2" t="s">
        <v>2</v>
      </c>
      <c r="E596" s="2" t="s">
        <v>9</v>
      </c>
      <c r="F596" s="9" t="s">
        <v>12</v>
      </c>
      <c r="G596" s="9" t="str">
        <f t="shared" si="19"/>
        <v>Fruits</v>
      </c>
      <c r="H596" s="25">
        <v>1.89</v>
      </c>
      <c r="I596" s="6">
        <v>10</v>
      </c>
      <c r="J596" s="25">
        <v>1.32</v>
      </c>
      <c r="K596" s="25">
        <v>20.22</v>
      </c>
      <c r="L596" s="9">
        <v>2</v>
      </c>
      <c r="M596" s="39" t="str">
        <f t="shared" si="18"/>
        <v>Normal Transaction</v>
      </c>
    </row>
    <row r="597" spans="1:13" x14ac:dyDescent="0.35">
      <c r="A597" s="27">
        <v>596</v>
      </c>
      <c r="B597" s="2" t="s">
        <v>31</v>
      </c>
      <c r="C597" s="2" t="s">
        <v>1</v>
      </c>
      <c r="D597" s="2" t="s">
        <v>8</v>
      </c>
      <c r="E597" s="2" t="s">
        <v>3</v>
      </c>
      <c r="F597" s="9" t="s">
        <v>10</v>
      </c>
      <c r="G597" s="9" t="str">
        <f t="shared" si="19"/>
        <v>Stationery</v>
      </c>
      <c r="H597" s="25">
        <v>6.36</v>
      </c>
      <c r="I597" s="6">
        <v>7</v>
      </c>
      <c r="J597" s="25">
        <v>3.12</v>
      </c>
      <c r="K597" s="25">
        <v>47.64</v>
      </c>
      <c r="L597" s="9">
        <v>0</v>
      </c>
      <c r="M597" s="39" t="str">
        <f t="shared" si="18"/>
        <v>Normal Transaction</v>
      </c>
    </row>
    <row r="598" spans="1:13" x14ac:dyDescent="0.35">
      <c r="A598" s="27">
        <v>597</v>
      </c>
      <c r="B598" s="2" t="s">
        <v>0</v>
      </c>
      <c r="C598" s="2" t="s">
        <v>14</v>
      </c>
      <c r="D598" s="2" t="s">
        <v>2</v>
      </c>
      <c r="E598" s="2" t="s">
        <v>9</v>
      </c>
      <c r="F598" s="9" t="s">
        <v>15</v>
      </c>
      <c r="G598" s="9" t="str">
        <f t="shared" si="19"/>
        <v>Household</v>
      </c>
      <c r="H598" s="25">
        <v>13.96</v>
      </c>
      <c r="I598" s="6">
        <v>16</v>
      </c>
      <c r="J598" s="25">
        <v>15.64</v>
      </c>
      <c r="K598" s="25">
        <v>239</v>
      </c>
      <c r="L598" s="9">
        <v>23</v>
      </c>
      <c r="M598" s="39" t="str">
        <f t="shared" si="18"/>
        <v>Normal Transaction</v>
      </c>
    </row>
    <row r="599" spans="1:13" x14ac:dyDescent="0.35">
      <c r="A599" s="27">
        <v>598</v>
      </c>
      <c r="B599" s="2" t="s">
        <v>6</v>
      </c>
      <c r="C599" s="2" t="s">
        <v>7</v>
      </c>
      <c r="D599" s="2" t="s">
        <v>8</v>
      </c>
      <c r="E599" s="2" t="s">
        <v>3</v>
      </c>
      <c r="F599" s="9" t="s">
        <v>17</v>
      </c>
      <c r="G599" s="9" t="str">
        <f t="shared" si="19"/>
        <v>Beverages</v>
      </c>
      <c r="H599" s="25">
        <v>10.84</v>
      </c>
      <c r="I599" s="6">
        <v>18</v>
      </c>
      <c r="J599" s="25">
        <v>13.66</v>
      </c>
      <c r="K599" s="25">
        <v>208.78</v>
      </c>
      <c r="L599" s="9">
        <v>0</v>
      </c>
      <c r="M599" s="39" t="str">
        <f t="shared" si="18"/>
        <v>Normal Transaction</v>
      </c>
    </row>
    <row r="600" spans="1:13" x14ac:dyDescent="0.35">
      <c r="A600" s="27">
        <v>599</v>
      </c>
      <c r="B600" s="2" t="s">
        <v>6</v>
      </c>
      <c r="C600" s="2" t="s">
        <v>7</v>
      </c>
      <c r="D600" s="2" t="s">
        <v>8</v>
      </c>
      <c r="E600" s="2" t="s">
        <v>9</v>
      </c>
      <c r="F600" s="9" t="s">
        <v>17</v>
      </c>
      <c r="G600" s="9" t="str">
        <f t="shared" si="19"/>
        <v>Beverages</v>
      </c>
      <c r="H600" s="25">
        <v>9.7799999999999994</v>
      </c>
      <c r="I600" s="6">
        <v>1</v>
      </c>
      <c r="J600" s="25">
        <v>0.68</v>
      </c>
      <c r="K600" s="25">
        <v>10.46</v>
      </c>
      <c r="L600" s="9">
        <v>0</v>
      </c>
      <c r="M600" s="39" t="str">
        <f t="shared" si="18"/>
        <v>Normal Transaction</v>
      </c>
    </row>
    <row r="601" spans="1:13" x14ac:dyDescent="0.35">
      <c r="A601" s="27">
        <v>600</v>
      </c>
      <c r="B601" s="2" t="s">
        <v>0</v>
      </c>
      <c r="C601" s="2" t="s">
        <v>14</v>
      </c>
      <c r="D601" s="2" t="s">
        <v>2</v>
      </c>
      <c r="E601" s="2" t="s">
        <v>3</v>
      </c>
      <c r="F601" s="9" t="s">
        <v>12</v>
      </c>
      <c r="G601" s="9" t="str">
        <f t="shared" si="19"/>
        <v>Fruits</v>
      </c>
      <c r="H601" s="25">
        <v>3.33</v>
      </c>
      <c r="I601" s="6">
        <v>11</v>
      </c>
      <c r="J601" s="25">
        <v>2.56</v>
      </c>
      <c r="K601" s="25">
        <v>39.19</v>
      </c>
      <c r="L601" s="9">
        <v>3</v>
      </c>
      <c r="M601" s="39" t="str">
        <f t="shared" si="18"/>
        <v>Normal Transaction</v>
      </c>
    </row>
    <row r="602" spans="1:13" x14ac:dyDescent="0.35">
      <c r="A602" s="27">
        <v>601</v>
      </c>
      <c r="B602" s="2" t="s">
        <v>0</v>
      </c>
      <c r="C602" s="2" t="s">
        <v>14</v>
      </c>
      <c r="D602" s="2" t="s">
        <v>8</v>
      </c>
      <c r="E602" s="2" t="s">
        <v>9</v>
      </c>
      <c r="F602" s="9" t="s">
        <v>12</v>
      </c>
      <c r="G602" s="9" t="str">
        <f t="shared" si="19"/>
        <v>Fruits</v>
      </c>
      <c r="H602" s="25">
        <v>8.67</v>
      </c>
      <c r="I602" s="6">
        <v>10</v>
      </c>
      <c r="J602" s="25">
        <v>6.07</v>
      </c>
      <c r="K602" s="25">
        <v>92.77</v>
      </c>
      <c r="L602" s="9">
        <v>0</v>
      </c>
      <c r="M602" s="39" t="str">
        <f t="shared" si="18"/>
        <v>Normal Transaction</v>
      </c>
    </row>
    <row r="603" spans="1:13" x14ac:dyDescent="0.35">
      <c r="A603" s="27">
        <v>602</v>
      </c>
      <c r="B603" s="2" t="s">
        <v>6</v>
      </c>
      <c r="C603" s="2" t="s">
        <v>7</v>
      </c>
      <c r="D603" s="2" t="s">
        <v>2</v>
      </c>
      <c r="E603" s="2" t="s">
        <v>3</v>
      </c>
      <c r="F603" s="9" t="s">
        <v>15</v>
      </c>
      <c r="G603" s="9" t="str">
        <f t="shared" si="19"/>
        <v>Household</v>
      </c>
      <c r="H603" s="25">
        <v>11.73</v>
      </c>
      <c r="I603" s="6">
        <v>19</v>
      </c>
      <c r="J603" s="25">
        <v>15.6</v>
      </c>
      <c r="K603" s="25">
        <v>238.47</v>
      </c>
      <c r="L603" s="9">
        <v>23</v>
      </c>
      <c r="M603" s="39" t="str">
        <f t="shared" si="18"/>
        <v>Normal Transaction</v>
      </c>
    </row>
    <row r="604" spans="1:13" x14ac:dyDescent="0.35">
      <c r="A604" s="27">
        <v>603</v>
      </c>
      <c r="B604" s="2" t="s">
        <v>31</v>
      </c>
      <c r="C604" s="2" t="s">
        <v>1</v>
      </c>
      <c r="D604" s="2" t="s">
        <v>8</v>
      </c>
      <c r="E604" s="2" t="s">
        <v>3</v>
      </c>
      <c r="F604" s="9" t="s">
        <v>15</v>
      </c>
      <c r="G604" s="9" t="str">
        <f t="shared" si="19"/>
        <v>Household</v>
      </c>
      <c r="H604" s="25">
        <v>7.96</v>
      </c>
      <c r="I604" s="6">
        <v>12</v>
      </c>
      <c r="J604" s="25">
        <v>6.69</v>
      </c>
      <c r="K604" s="25">
        <v>102.21</v>
      </c>
      <c r="L604" s="9">
        <v>0</v>
      </c>
      <c r="M604" s="39" t="str">
        <f t="shared" si="18"/>
        <v>Normal Transaction</v>
      </c>
    </row>
    <row r="605" spans="1:13" x14ac:dyDescent="0.35">
      <c r="A605" s="27">
        <v>604</v>
      </c>
      <c r="B605" s="2" t="s">
        <v>0</v>
      </c>
      <c r="C605" s="2" t="s">
        <v>14</v>
      </c>
      <c r="D605" s="2" t="s">
        <v>8</v>
      </c>
      <c r="E605" s="2" t="s">
        <v>3</v>
      </c>
      <c r="F605" s="9" t="s">
        <v>12</v>
      </c>
      <c r="G605" s="9" t="str">
        <f t="shared" si="19"/>
        <v>Fruits</v>
      </c>
      <c r="H605" s="25">
        <v>5.87</v>
      </c>
      <c r="I605" s="6">
        <v>7</v>
      </c>
      <c r="J605" s="25">
        <v>2.88</v>
      </c>
      <c r="K605" s="25">
        <v>43.97</v>
      </c>
      <c r="L605" s="9">
        <v>0</v>
      </c>
      <c r="M605" s="39" t="str">
        <f t="shared" si="18"/>
        <v>Normal Transaction</v>
      </c>
    </row>
    <row r="606" spans="1:13" x14ac:dyDescent="0.35">
      <c r="A606" s="27">
        <v>605</v>
      </c>
      <c r="B606" s="2" t="s">
        <v>31</v>
      </c>
      <c r="C606" s="2" t="s">
        <v>1</v>
      </c>
      <c r="D606" s="2" t="s">
        <v>8</v>
      </c>
      <c r="E606" s="2" t="s">
        <v>9</v>
      </c>
      <c r="F606" s="9" t="s">
        <v>10</v>
      </c>
      <c r="G606" s="9" t="str">
        <f t="shared" si="19"/>
        <v>Stationery</v>
      </c>
      <c r="H606" s="25">
        <v>4.1500000000000004</v>
      </c>
      <c r="I606" s="6">
        <v>1</v>
      </c>
      <c r="J606" s="25">
        <v>0.28999999999999998</v>
      </c>
      <c r="K606" s="25">
        <v>4.4400000000000004</v>
      </c>
      <c r="L606" s="9">
        <v>0</v>
      </c>
      <c r="M606" s="39" t="str">
        <f t="shared" si="18"/>
        <v>Normal Transaction</v>
      </c>
    </row>
    <row r="607" spans="1:13" x14ac:dyDescent="0.35">
      <c r="A607" s="27">
        <v>606</v>
      </c>
      <c r="B607" s="2" t="s">
        <v>0</v>
      </c>
      <c r="C607" s="2" t="s">
        <v>14</v>
      </c>
      <c r="D607" s="2" t="s">
        <v>2</v>
      </c>
      <c r="E607" s="2" t="s">
        <v>3</v>
      </c>
      <c r="F607" s="9" t="s">
        <v>4</v>
      </c>
      <c r="G607" s="9" t="str">
        <f t="shared" si="19"/>
        <v>Personal Care</v>
      </c>
      <c r="H607" s="25">
        <v>10.220000000000001</v>
      </c>
      <c r="I607" s="6">
        <v>5</v>
      </c>
      <c r="J607" s="25">
        <v>3.58</v>
      </c>
      <c r="K607" s="25">
        <v>54.68</v>
      </c>
      <c r="L607" s="9">
        <v>5</v>
      </c>
      <c r="M607" s="39" t="str">
        <f t="shared" si="18"/>
        <v>Normal Transaction</v>
      </c>
    </row>
    <row r="608" spans="1:13" x14ac:dyDescent="0.35">
      <c r="A608" s="27">
        <v>607</v>
      </c>
      <c r="B608" s="2" t="s">
        <v>6</v>
      </c>
      <c r="C608" s="2" t="s">
        <v>7</v>
      </c>
      <c r="D608" s="2" t="s">
        <v>8</v>
      </c>
      <c r="E608" s="2" t="s">
        <v>3</v>
      </c>
      <c r="F608" s="9" t="s">
        <v>17</v>
      </c>
      <c r="G608" s="9" t="str">
        <f t="shared" si="19"/>
        <v>Beverages</v>
      </c>
      <c r="H608" s="25">
        <v>17.420000000000002</v>
      </c>
      <c r="I608" s="6">
        <v>3</v>
      </c>
      <c r="J608" s="25">
        <v>3.66</v>
      </c>
      <c r="K608" s="25">
        <v>55.92</v>
      </c>
      <c r="L608" s="9">
        <v>0</v>
      </c>
      <c r="M608" s="39" t="str">
        <f t="shared" si="18"/>
        <v>Normal Transaction</v>
      </c>
    </row>
    <row r="609" spans="1:13" x14ac:dyDescent="0.35">
      <c r="A609" s="27">
        <v>608</v>
      </c>
      <c r="B609" s="2" t="s">
        <v>6</v>
      </c>
      <c r="C609" s="2" t="s">
        <v>7</v>
      </c>
      <c r="D609" s="2" t="s">
        <v>8</v>
      </c>
      <c r="E609" s="2" t="s">
        <v>3</v>
      </c>
      <c r="F609" s="9" t="s">
        <v>12</v>
      </c>
      <c r="G609" s="9" t="str">
        <f t="shared" si="19"/>
        <v>Fruits</v>
      </c>
      <c r="H609" s="25">
        <v>7.44</v>
      </c>
      <c r="I609" s="6">
        <v>12</v>
      </c>
      <c r="J609" s="25">
        <v>6.25</v>
      </c>
      <c r="K609" s="25">
        <v>95.53</v>
      </c>
      <c r="L609" s="9">
        <v>0</v>
      </c>
      <c r="M609" s="39" t="str">
        <f t="shared" si="18"/>
        <v>Normal Transaction</v>
      </c>
    </row>
    <row r="610" spans="1:13" x14ac:dyDescent="0.35">
      <c r="A610" s="27">
        <v>609</v>
      </c>
      <c r="B610" s="2" t="s">
        <v>0</v>
      </c>
      <c r="C610" s="2" t="s">
        <v>14</v>
      </c>
      <c r="D610" s="2" t="s">
        <v>2</v>
      </c>
      <c r="E610" s="2" t="s">
        <v>3</v>
      </c>
      <c r="F610" s="9" t="s">
        <v>4</v>
      </c>
      <c r="G610" s="9" t="str">
        <f t="shared" si="19"/>
        <v>Personal Care</v>
      </c>
      <c r="H610" s="25">
        <v>15.53</v>
      </c>
      <c r="I610" s="6">
        <v>8</v>
      </c>
      <c r="J610" s="25">
        <v>8.6999999999999993</v>
      </c>
      <c r="K610" s="25">
        <v>132.94</v>
      </c>
      <c r="L610" s="9">
        <v>13</v>
      </c>
      <c r="M610" s="39" t="str">
        <f t="shared" si="18"/>
        <v>Normal Transaction</v>
      </c>
    </row>
    <row r="611" spans="1:13" x14ac:dyDescent="0.35">
      <c r="A611" s="27">
        <v>610</v>
      </c>
      <c r="B611" s="2" t="s">
        <v>0</v>
      </c>
      <c r="C611" s="2" t="s">
        <v>14</v>
      </c>
      <c r="D611" s="2" t="s">
        <v>8</v>
      </c>
      <c r="E611" s="2" t="s">
        <v>9</v>
      </c>
      <c r="F611" s="9" t="s">
        <v>12</v>
      </c>
      <c r="G611" s="9" t="str">
        <f t="shared" si="19"/>
        <v>Fruits</v>
      </c>
      <c r="H611" s="25">
        <v>2.68</v>
      </c>
      <c r="I611" s="6">
        <v>5</v>
      </c>
      <c r="J611" s="25">
        <v>0.94</v>
      </c>
      <c r="K611" s="25">
        <v>14.34</v>
      </c>
      <c r="L611" s="9">
        <v>0</v>
      </c>
      <c r="M611" s="39" t="str">
        <f t="shared" si="18"/>
        <v>Normal Transaction</v>
      </c>
    </row>
    <row r="612" spans="1:13" x14ac:dyDescent="0.35">
      <c r="A612" s="27">
        <v>611</v>
      </c>
      <c r="B612" s="2" t="s">
        <v>31</v>
      </c>
      <c r="C612" s="2" t="s">
        <v>1</v>
      </c>
      <c r="D612" s="2" t="s">
        <v>8</v>
      </c>
      <c r="E612" s="2" t="s">
        <v>3</v>
      </c>
      <c r="F612" s="9" t="s">
        <v>12</v>
      </c>
      <c r="G612" s="9" t="str">
        <f t="shared" si="19"/>
        <v>Fruits</v>
      </c>
      <c r="H612" s="25">
        <v>15.57</v>
      </c>
      <c r="I612" s="6">
        <v>2</v>
      </c>
      <c r="J612" s="25">
        <v>2.1800000000000002</v>
      </c>
      <c r="K612" s="25">
        <v>33.32</v>
      </c>
      <c r="L612" s="9">
        <v>0</v>
      </c>
      <c r="M612" s="39" t="str">
        <f t="shared" si="18"/>
        <v>Normal Transaction</v>
      </c>
    </row>
    <row r="613" spans="1:13" x14ac:dyDescent="0.35">
      <c r="A613" s="27">
        <v>612</v>
      </c>
      <c r="B613" s="2" t="s">
        <v>31</v>
      </c>
      <c r="C613" s="2" t="s">
        <v>1</v>
      </c>
      <c r="D613" s="2" t="s">
        <v>2</v>
      </c>
      <c r="E613" s="2" t="s">
        <v>3</v>
      </c>
      <c r="F613" s="9" t="s">
        <v>15</v>
      </c>
      <c r="G613" s="9" t="str">
        <f t="shared" si="19"/>
        <v>Household</v>
      </c>
      <c r="H613" s="25">
        <v>8.39</v>
      </c>
      <c r="I613" s="6">
        <v>1</v>
      </c>
      <c r="J613" s="25">
        <v>0.59</v>
      </c>
      <c r="K613" s="25">
        <v>8.98</v>
      </c>
      <c r="L613" s="9">
        <v>0</v>
      </c>
      <c r="M613" s="39" t="str">
        <f t="shared" si="18"/>
        <v>Normal Transaction</v>
      </c>
    </row>
    <row r="614" spans="1:13" x14ac:dyDescent="0.35">
      <c r="A614" s="27">
        <v>613</v>
      </c>
      <c r="B614" s="2" t="s">
        <v>6</v>
      </c>
      <c r="C614" s="2" t="s">
        <v>7</v>
      </c>
      <c r="D614" s="2" t="s">
        <v>8</v>
      </c>
      <c r="E614" s="2" t="s">
        <v>3</v>
      </c>
      <c r="F614" s="9" t="s">
        <v>12</v>
      </c>
      <c r="G614" s="9" t="str">
        <f t="shared" si="19"/>
        <v>Fruits</v>
      </c>
      <c r="H614" s="25">
        <v>19.28</v>
      </c>
      <c r="I614" s="6">
        <v>2</v>
      </c>
      <c r="J614" s="25">
        <v>2.7</v>
      </c>
      <c r="K614" s="25">
        <v>41.26</v>
      </c>
      <c r="L614" s="9">
        <v>0</v>
      </c>
      <c r="M614" s="39" t="str">
        <f t="shared" si="18"/>
        <v>Normal Transaction</v>
      </c>
    </row>
    <row r="615" spans="1:13" x14ac:dyDescent="0.35">
      <c r="A615" s="27">
        <v>614</v>
      </c>
      <c r="B615" s="2" t="s">
        <v>31</v>
      </c>
      <c r="C615" s="2" t="s">
        <v>1</v>
      </c>
      <c r="D615" s="2" t="s">
        <v>8</v>
      </c>
      <c r="E615" s="2" t="s">
        <v>9</v>
      </c>
      <c r="F615" s="9" t="s">
        <v>17</v>
      </c>
      <c r="G615" s="9" t="str">
        <f t="shared" si="19"/>
        <v>Beverages</v>
      </c>
      <c r="H615" s="25">
        <v>12.9</v>
      </c>
      <c r="I615" s="6">
        <v>6</v>
      </c>
      <c r="J615" s="25">
        <v>5.42</v>
      </c>
      <c r="K615" s="25">
        <v>82.82</v>
      </c>
      <c r="L615" s="9">
        <v>0</v>
      </c>
      <c r="M615" s="39" t="str">
        <f t="shared" si="18"/>
        <v>Normal Transaction</v>
      </c>
    </row>
    <row r="616" spans="1:13" x14ac:dyDescent="0.35">
      <c r="A616" s="27">
        <v>615</v>
      </c>
      <c r="B616" s="2" t="s">
        <v>31</v>
      </c>
      <c r="C616" s="2" t="s">
        <v>1</v>
      </c>
      <c r="D616" s="2" t="s">
        <v>8</v>
      </c>
      <c r="E616" s="2" t="s">
        <v>3</v>
      </c>
      <c r="F616" s="9" t="s">
        <v>17</v>
      </c>
      <c r="G616" s="9" t="str">
        <f t="shared" si="19"/>
        <v>Beverages</v>
      </c>
      <c r="H616" s="25">
        <v>6.9</v>
      </c>
      <c r="I616" s="6">
        <v>6</v>
      </c>
      <c r="J616" s="25">
        <v>2.9</v>
      </c>
      <c r="K616" s="25">
        <v>44.3</v>
      </c>
      <c r="L616" s="9">
        <v>0</v>
      </c>
      <c r="M616" s="39" t="str">
        <f t="shared" si="18"/>
        <v>Normal Transaction</v>
      </c>
    </row>
    <row r="617" spans="1:13" x14ac:dyDescent="0.35">
      <c r="A617" s="27">
        <v>616</v>
      </c>
      <c r="B617" s="2" t="s">
        <v>6</v>
      </c>
      <c r="C617" s="2" t="s">
        <v>7</v>
      </c>
      <c r="D617" s="2" t="s">
        <v>8</v>
      </c>
      <c r="E617" s="2" t="s">
        <v>9</v>
      </c>
      <c r="F617" s="9" t="s">
        <v>12</v>
      </c>
      <c r="G617" s="9" t="str">
        <f t="shared" si="19"/>
        <v>Fruits</v>
      </c>
      <c r="H617" s="25">
        <v>12.94</v>
      </c>
      <c r="I617" s="6">
        <v>3</v>
      </c>
      <c r="J617" s="25">
        <v>2.72</v>
      </c>
      <c r="K617" s="25">
        <v>41.54</v>
      </c>
      <c r="L617" s="9">
        <v>0</v>
      </c>
      <c r="M617" s="39" t="str">
        <f t="shared" si="18"/>
        <v>Normal Transaction</v>
      </c>
    </row>
    <row r="618" spans="1:13" x14ac:dyDescent="0.35">
      <c r="A618" s="27">
        <v>617</v>
      </c>
      <c r="B618" s="2" t="s">
        <v>0</v>
      </c>
      <c r="C618" s="2" t="s">
        <v>14</v>
      </c>
      <c r="D618" s="2" t="s">
        <v>8</v>
      </c>
      <c r="E618" s="2" t="s">
        <v>3</v>
      </c>
      <c r="F618" s="9" t="s">
        <v>10</v>
      </c>
      <c r="G618" s="9" t="str">
        <f t="shared" si="19"/>
        <v>Stationery</v>
      </c>
      <c r="H618" s="25">
        <v>8.76</v>
      </c>
      <c r="I618" s="6">
        <v>4</v>
      </c>
      <c r="J618" s="25">
        <v>2.4500000000000002</v>
      </c>
      <c r="K618" s="25">
        <v>37.49</v>
      </c>
      <c r="L618" s="9">
        <v>0</v>
      </c>
      <c r="M618" s="39" t="str">
        <f t="shared" si="18"/>
        <v>Normal Transaction</v>
      </c>
    </row>
    <row r="619" spans="1:13" x14ac:dyDescent="0.35">
      <c r="A619" s="27">
        <v>618</v>
      </c>
      <c r="B619" s="2" t="s">
        <v>31</v>
      </c>
      <c r="C619" s="2" t="s">
        <v>1</v>
      </c>
      <c r="D619" s="2" t="s">
        <v>8</v>
      </c>
      <c r="E619" s="2" t="s">
        <v>9</v>
      </c>
      <c r="F619" s="9" t="s">
        <v>15</v>
      </c>
      <c r="G619" s="9" t="str">
        <f t="shared" si="19"/>
        <v>Household</v>
      </c>
      <c r="H619" s="25">
        <v>3.64</v>
      </c>
      <c r="I619" s="6">
        <v>8</v>
      </c>
      <c r="J619" s="25">
        <v>2.04</v>
      </c>
      <c r="K619" s="25">
        <v>31.16</v>
      </c>
      <c r="L619" s="9">
        <v>0</v>
      </c>
      <c r="M619" s="39" t="str">
        <f t="shared" si="18"/>
        <v>Normal Transaction</v>
      </c>
    </row>
    <row r="620" spans="1:13" x14ac:dyDescent="0.35">
      <c r="A620" s="27">
        <v>619</v>
      </c>
      <c r="B620" s="2" t="s">
        <v>0</v>
      </c>
      <c r="C620" s="2" t="s">
        <v>14</v>
      </c>
      <c r="D620" s="2" t="s">
        <v>2</v>
      </c>
      <c r="E620" s="2" t="s">
        <v>9</v>
      </c>
      <c r="F620" s="9" t="s">
        <v>4</v>
      </c>
      <c r="G620" s="9" t="str">
        <f t="shared" si="19"/>
        <v>Personal Care</v>
      </c>
      <c r="H620" s="25">
        <v>8.39</v>
      </c>
      <c r="I620" s="6">
        <v>15</v>
      </c>
      <c r="J620" s="25">
        <v>8.81</v>
      </c>
      <c r="K620" s="25">
        <v>134.66</v>
      </c>
      <c r="L620" s="9">
        <v>13</v>
      </c>
      <c r="M620" s="39" t="str">
        <f t="shared" si="18"/>
        <v>Normal Transaction</v>
      </c>
    </row>
    <row r="621" spans="1:13" x14ac:dyDescent="0.35">
      <c r="A621" s="27">
        <v>620</v>
      </c>
      <c r="B621" s="2" t="s">
        <v>6</v>
      </c>
      <c r="C621" s="2" t="s">
        <v>7</v>
      </c>
      <c r="D621" s="2" t="s">
        <v>2</v>
      </c>
      <c r="E621" s="2" t="s">
        <v>9</v>
      </c>
      <c r="F621" s="9" t="s">
        <v>12</v>
      </c>
      <c r="G621" s="9" t="str">
        <f t="shared" si="19"/>
        <v>Fruits</v>
      </c>
      <c r="H621" s="25">
        <v>3.07</v>
      </c>
      <c r="I621" s="6">
        <v>9</v>
      </c>
      <c r="J621" s="25">
        <v>1.93</v>
      </c>
      <c r="K621" s="25">
        <v>29.56</v>
      </c>
      <c r="L621" s="9">
        <v>2</v>
      </c>
      <c r="M621" s="39" t="str">
        <f t="shared" si="18"/>
        <v>Normal Transaction</v>
      </c>
    </row>
    <row r="622" spans="1:13" x14ac:dyDescent="0.35">
      <c r="A622" s="27">
        <v>621</v>
      </c>
      <c r="B622" s="2" t="s">
        <v>6</v>
      </c>
      <c r="C622" s="2" t="s">
        <v>7</v>
      </c>
      <c r="D622" s="2" t="s">
        <v>2</v>
      </c>
      <c r="E622" s="2" t="s">
        <v>9</v>
      </c>
      <c r="F622" s="9" t="s">
        <v>10</v>
      </c>
      <c r="G622" s="9" t="str">
        <f t="shared" si="19"/>
        <v>Stationery</v>
      </c>
      <c r="H622" s="25">
        <v>4.57</v>
      </c>
      <c r="I622" s="6">
        <v>17</v>
      </c>
      <c r="J622" s="25">
        <v>5.44</v>
      </c>
      <c r="K622" s="25">
        <v>83.13</v>
      </c>
      <c r="L622" s="9">
        <v>8</v>
      </c>
      <c r="M622" s="39" t="str">
        <f t="shared" si="18"/>
        <v>Normal Transaction</v>
      </c>
    </row>
    <row r="623" spans="1:13" x14ac:dyDescent="0.35">
      <c r="A623" s="27">
        <v>622</v>
      </c>
      <c r="B623" s="2" t="s">
        <v>31</v>
      </c>
      <c r="C623" s="2" t="s">
        <v>1</v>
      </c>
      <c r="D623" s="2" t="s">
        <v>8</v>
      </c>
      <c r="E623" s="2" t="s">
        <v>9</v>
      </c>
      <c r="F623" s="9" t="s">
        <v>15</v>
      </c>
      <c r="G623" s="9" t="str">
        <f t="shared" si="19"/>
        <v>Household</v>
      </c>
      <c r="H623" s="25">
        <v>19.77</v>
      </c>
      <c r="I623" s="6">
        <v>20</v>
      </c>
      <c r="J623" s="25">
        <v>27.68</v>
      </c>
      <c r="K623" s="25">
        <v>423.08</v>
      </c>
      <c r="L623" s="9">
        <v>0</v>
      </c>
      <c r="M623" s="39" t="str">
        <f t="shared" si="18"/>
        <v>Outlier (Extreme Spend)</v>
      </c>
    </row>
    <row r="624" spans="1:13" x14ac:dyDescent="0.35">
      <c r="A624" s="27">
        <v>623</v>
      </c>
      <c r="B624" s="2" t="s">
        <v>6</v>
      </c>
      <c r="C624" s="2" t="s">
        <v>7</v>
      </c>
      <c r="D624" s="2" t="s">
        <v>2</v>
      </c>
      <c r="E624" s="2" t="s">
        <v>3</v>
      </c>
      <c r="F624" s="9" t="s">
        <v>17</v>
      </c>
      <c r="G624" s="9" t="str">
        <f t="shared" si="19"/>
        <v>Beverages</v>
      </c>
      <c r="H624" s="25">
        <v>2.39</v>
      </c>
      <c r="I624" s="6">
        <v>7</v>
      </c>
      <c r="J624" s="25">
        <v>1.17</v>
      </c>
      <c r="K624" s="25">
        <v>17.899999999999999</v>
      </c>
      <c r="L624" s="9">
        <v>1</v>
      </c>
      <c r="M624" s="39" t="str">
        <f t="shared" si="18"/>
        <v>Normal Transaction</v>
      </c>
    </row>
    <row r="625" spans="1:13" x14ac:dyDescent="0.35">
      <c r="A625" s="27">
        <v>624</v>
      </c>
      <c r="B625" s="2" t="s">
        <v>0</v>
      </c>
      <c r="C625" s="2" t="s">
        <v>14</v>
      </c>
      <c r="D625" s="2" t="s">
        <v>2</v>
      </c>
      <c r="E625" s="2" t="s">
        <v>9</v>
      </c>
      <c r="F625" s="9" t="s">
        <v>10</v>
      </c>
      <c r="G625" s="9" t="str">
        <f t="shared" si="19"/>
        <v>Stationery</v>
      </c>
      <c r="H625" s="25">
        <v>17.73</v>
      </c>
      <c r="I625" s="6">
        <v>19</v>
      </c>
      <c r="J625" s="25">
        <v>23.58</v>
      </c>
      <c r="K625" s="25">
        <v>360.45</v>
      </c>
      <c r="L625" s="9">
        <v>36</v>
      </c>
      <c r="M625" s="39" t="str">
        <f t="shared" si="18"/>
        <v>Normal Transaction</v>
      </c>
    </row>
    <row r="626" spans="1:13" x14ac:dyDescent="0.35">
      <c r="A626" s="27">
        <v>625</v>
      </c>
      <c r="B626" s="2" t="s">
        <v>31</v>
      </c>
      <c r="C626" s="2" t="s">
        <v>1</v>
      </c>
      <c r="D626" s="2" t="s">
        <v>2</v>
      </c>
      <c r="E626" s="2" t="s">
        <v>3</v>
      </c>
      <c r="F626" s="9" t="s">
        <v>15</v>
      </c>
      <c r="G626" s="9" t="str">
        <f t="shared" si="19"/>
        <v>Household</v>
      </c>
      <c r="H626" s="25">
        <v>11.96</v>
      </c>
      <c r="I626" s="6">
        <v>3</v>
      </c>
      <c r="J626" s="25">
        <v>2.5099999999999998</v>
      </c>
      <c r="K626" s="25">
        <v>38.39</v>
      </c>
      <c r="L626" s="9">
        <v>3</v>
      </c>
      <c r="M626" s="39" t="str">
        <f t="shared" si="18"/>
        <v>Normal Transaction</v>
      </c>
    </row>
    <row r="627" spans="1:13" x14ac:dyDescent="0.35">
      <c r="A627" s="27">
        <v>626</v>
      </c>
      <c r="B627" s="2" t="s">
        <v>31</v>
      </c>
      <c r="C627" s="2" t="s">
        <v>1</v>
      </c>
      <c r="D627" s="2" t="s">
        <v>2</v>
      </c>
      <c r="E627" s="2" t="s">
        <v>3</v>
      </c>
      <c r="F627" s="9" t="s">
        <v>15</v>
      </c>
      <c r="G627" s="9" t="str">
        <f t="shared" si="19"/>
        <v>Household</v>
      </c>
      <c r="H627" s="25">
        <v>12.34</v>
      </c>
      <c r="I627" s="6">
        <v>8</v>
      </c>
      <c r="J627" s="25">
        <v>6.91</v>
      </c>
      <c r="K627" s="25">
        <v>105.63</v>
      </c>
      <c r="L627" s="9">
        <v>10</v>
      </c>
      <c r="M627" s="39" t="str">
        <f t="shared" si="18"/>
        <v>Normal Transaction</v>
      </c>
    </row>
    <row r="628" spans="1:13" x14ac:dyDescent="0.35">
      <c r="A628" s="27">
        <v>627</v>
      </c>
      <c r="B628" s="2" t="s">
        <v>0</v>
      </c>
      <c r="C628" s="2" t="s">
        <v>14</v>
      </c>
      <c r="D628" s="2" t="s">
        <v>8</v>
      </c>
      <c r="E628" s="2" t="s">
        <v>9</v>
      </c>
      <c r="F628" s="9" t="s">
        <v>17</v>
      </c>
      <c r="G628" s="9" t="str">
        <f t="shared" si="19"/>
        <v>Beverages</v>
      </c>
      <c r="H628" s="25">
        <v>6.2</v>
      </c>
      <c r="I628" s="6">
        <v>3</v>
      </c>
      <c r="J628" s="25">
        <v>1.3</v>
      </c>
      <c r="K628" s="25">
        <v>19.899999999999999</v>
      </c>
      <c r="L628" s="9">
        <v>0</v>
      </c>
      <c r="M628" s="39" t="str">
        <f t="shared" si="18"/>
        <v>Normal Transaction</v>
      </c>
    </row>
    <row r="629" spans="1:13" x14ac:dyDescent="0.35">
      <c r="A629" s="27">
        <v>628</v>
      </c>
      <c r="B629" s="2" t="s">
        <v>6</v>
      </c>
      <c r="C629" s="2" t="s">
        <v>7</v>
      </c>
      <c r="D629" s="2" t="s">
        <v>8</v>
      </c>
      <c r="E629" s="2" t="s">
        <v>3</v>
      </c>
      <c r="F629" s="9" t="s">
        <v>4</v>
      </c>
      <c r="G629" s="9" t="str">
        <f t="shared" si="19"/>
        <v>Personal Care</v>
      </c>
      <c r="H629" s="25">
        <v>15.18</v>
      </c>
      <c r="I629" s="6">
        <v>5</v>
      </c>
      <c r="J629" s="25">
        <v>5.31</v>
      </c>
      <c r="K629" s="25">
        <v>81.209999999999994</v>
      </c>
      <c r="L629" s="9">
        <v>0</v>
      </c>
      <c r="M629" s="39" t="str">
        <f t="shared" si="18"/>
        <v>Normal Transaction</v>
      </c>
    </row>
    <row r="630" spans="1:13" x14ac:dyDescent="0.35">
      <c r="A630" s="27">
        <v>629</v>
      </c>
      <c r="B630" s="2" t="s">
        <v>6</v>
      </c>
      <c r="C630" s="2" t="s">
        <v>7</v>
      </c>
      <c r="D630" s="2" t="s">
        <v>8</v>
      </c>
      <c r="E630" s="2" t="s">
        <v>3</v>
      </c>
      <c r="F630" s="9" t="s">
        <v>10</v>
      </c>
      <c r="G630" s="9" t="str">
        <f t="shared" si="19"/>
        <v>Stationery</v>
      </c>
      <c r="H630" s="25">
        <v>14.15</v>
      </c>
      <c r="I630" s="6">
        <v>19</v>
      </c>
      <c r="J630" s="25">
        <v>18.82</v>
      </c>
      <c r="K630" s="25">
        <v>287.67</v>
      </c>
      <c r="L630" s="9">
        <v>0</v>
      </c>
      <c r="M630" s="39" t="str">
        <f t="shared" si="18"/>
        <v>Normal Transaction</v>
      </c>
    </row>
    <row r="631" spans="1:13" x14ac:dyDescent="0.35">
      <c r="A631" s="27">
        <v>630</v>
      </c>
      <c r="B631" s="2" t="s">
        <v>6</v>
      </c>
      <c r="C631" s="2" t="s">
        <v>7</v>
      </c>
      <c r="D631" s="2" t="s">
        <v>8</v>
      </c>
      <c r="E631" s="2" t="s">
        <v>3</v>
      </c>
      <c r="F631" s="9" t="s">
        <v>10</v>
      </c>
      <c r="G631" s="9" t="str">
        <f t="shared" si="19"/>
        <v>Stationery</v>
      </c>
      <c r="H631" s="25">
        <v>7.15</v>
      </c>
      <c r="I631" s="6">
        <v>14</v>
      </c>
      <c r="J631" s="25">
        <v>7.01</v>
      </c>
      <c r="K631" s="25">
        <v>107.11</v>
      </c>
      <c r="L631" s="9">
        <v>0</v>
      </c>
      <c r="M631" s="39" t="str">
        <f t="shared" si="18"/>
        <v>Normal Transaction</v>
      </c>
    </row>
    <row r="632" spans="1:13" x14ac:dyDescent="0.35">
      <c r="A632" s="27">
        <v>631</v>
      </c>
      <c r="B632" s="2" t="s">
        <v>31</v>
      </c>
      <c r="C632" s="2" t="s">
        <v>1</v>
      </c>
      <c r="D632" s="2" t="s">
        <v>8</v>
      </c>
      <c r="E632" s="2" t="s">
        <v>9</v>
      </c>
      <c r="F632" s="9" t="s">
        <v>4</v>
      </c>
      <c r="G632" s="9" t="str">
        <f t="shared" si="19"/>
        <v>Personal Care</v>
      </c>
      <c r="H632" s="25">
        <v>14.7</v>
      </c>
      <c r="I632" s="6">
        <v>14</v>
      </c>
      <c r="J632" s="25">
        <v>14.41</v>
      </c>
      <c r="K632" s="25">
        <v>220.21</v>
      </c>
      <c r="L632" s="9">
        <v>0</v>
      </c>
      <c r="M632" s="39" t="str">
        <f t="shared" si="18"/>
        <v>Normal Transaction</v>
      </c>
    </row>
    <row r="633" spans="1:13" x14ac:dyDescent="0.35">
      <c r="A633" s="27">
        <v>632</v>
      </c>
      <c r="B633" s="2" t="s">
        <v>0</v>
      </c>
      <c r="C633" s="2" t="s">
        <v>14</v>
      </c>
      <c r="D633" s="2" t="s">
        <v>8</v>
      </c>
      <c r="E633" s="2" t="s">
        <v>3</v>
      </c>
      <c r="F633" s="9" t="s">
        <v>17</v>
      </c>
      <c r="G633" s="9" t="str">
        <f t="shared" si="19"/>
        <v>Beverages</v>
      </c>
      <c r="H633" s="25">
        <v>20.6</v>
      </c>
      <c r="I633" s="6">
        <v>17</v>
      </c>
      <c r="J633" s="25">
        <v>24.51</v>
      </c>
      <c r="K633" s="25">
        <v>374.71</v>
      </c>
      <c r="L633" s="9">
        <v>0</v>
      </c>
      <c r="M633" s="39" t="str">
        <f t="shared" si="18"/>
        <v>Normal Transaction</v>
      </c>
    </row>
    <row r="634" spans="1:13" x14ac:dyDescent="0.35">
      <c r="A634" s="27">
        <v>633</v>
      </c>
      <c r="B634" s="2" t="s">
        <v>6</v>
      </c>
      <c r="C634" s="2" t="s">
        <v>7</v>
      </c>
      <c r="D634" s="2" t="s">
        <v>8</v>
      </c>
      <c r="E634" s="2" t="s">
        <v>3</v>
      </c>
      <c r="F634" s="9" t="s">
        <v>4</v>
      </c>
      <c r="G634" s="9" t="str">
        <f t="shared" si="19"/>
        <v>Personal Care</v>
      </c>
      <c r="H634" s="25">
        <v>13.71</v>
      </c>
      <c r="I634" s="6">
        <v>2</v>
      </c>
      <c r="J634" s="25">
        <v>1.92</v>
      </c>
      <c r="K634" s="25">
        <v>29.34</v>
      </c>
      <c r="L634" s="9">
        <v>0</v>
      </c>
      <c r="M634" s="39" t="str">
        <f t="shared" si="18"/>
        <v>Normal Transaction</v>
      </c>
    </row>
    <row r="635" spans="1:13" x14ac:dyDescent="0.35">
      <c r="A635" s="27">
        <v>634</v>
      </c>
      <c r="B635" s="2" t="s">
        <v>31</v>
      </c>
      <c r="C635" s="2" t="s">
        <v>1</v>
      </c>
      <c r="D635" s="2" t="s">
        <v>8</v>
      </c>
      <c r="E635" s="2" t="s">
        <v>9</v>
      </c>
      <c r="F635" s="9" t="s">
        <v>12</v>
      </c>
      <c r="G635" s="9" t="str">
        <f t="shared" si="19"/>
        <v>Fruits</v>
      </c>
      <c r="H635" s="25">
        <v>17.170000000000002</v>
      </c>
      <c r="I635" s="6">
        <v>1</v>
      </c>
      <c r="J635" s="25">
        <v>1.2</v>
      </c>
      <c r="K635" s="25">
        <v>18.37</v>
      </c>
      <c r="L635" s="9">
        <v>0</v>
      </c>
      <c r="M635" s="39" t="str">
        <f t="shared" si="18"/>
        <v>Normal Transaction</v>
      </c>
    </row>
    <row r="636" spans="1:13" x14ac:dyDescent="0.35">
      <c r="A636" s="27">
        <v>635</v>
      </c>
      <c r="B636" s="2" t="s">
        <v>31</v>
      </c>
      <c r="C636" s="2" t="s">
        <v>1</v>
      </c>
      <c r="D636" s="2" t="s">
        <v>8</v>
      </c>
      <c r="E636" s="2" t="s">
        <v>9</v>
      </c>
      <c r="F636" s="9" t="s">
        <v>15</v>
      </c>
      <c r="G636" s="9" t="str">
        <f t="shared" si="19"/>
        <v>Household</v>
      </c>
      <c r="H636" s="25">
        <v>9.3800000000000008</v>
      </c>
      <c r="I636" s="6">
        <v>5</v>
      </c>
      <c r="J636" s="25">
        <v>3.28</v>
      </c>
      <c r="K636" s="25">
        <v>50.18</v>
      </c>
      <c r="L636" s="9">
        <v>0</v>
      </c>
      <c r="M636" s="39" t="str">
        <f t="shared" si="18"/>
        <v>Normal Transaction</v>
      </c>
    </row>
    <row r="637" spans="1:13" x14ac:dyDescent="0.35">
      <c r="A637" s="27">
        <v>636</v>
      </c>
      <c r="B637" s="2" t="s">
        <v>6</v>
      </c>
      <c r="C637" s="2" t="s">
        <v>7</v>
      </c>
      <c r="D637" s="2" t="s">
        <v>8</v>
      </c>
      <c r="E637" s="2" t="s">
        <v>9</v>
      </c>
      <c r="F637" s="9" t="s">
        <v>12</v>
      </c>
      <c r="G637" s="9" t="str">
        <f t="shared" si="19"/>
        <v>Fruits</v>
      </c>
      <c r="H637" s="25">
        <v>4.34</v>
      </c>
      <c r="I637" s="6">
        <v>1</v>
      </c>
      <c r="J637" s="25">
        <v>0.3</v>
      </c>
      <c r="K637" s="25">
        <v>4.6399999999999997</v>
      </c>
      <c r="L637" s="9">
        <v>0</v>
      </c>
      <c r="M637" s="39" t="str">
        <f t="shared" si="18"/>
        <v>Normal Transaction</v>
      </c>
    </row>
    <row r="638" spans="1:13" x14ac:dyDescent="0.35">
      <c r="A638" s="27">
        <v>637</v>
      </c>
      <c r="B638" s="2" t="s">
        <v>0</v>
      </c>
      <c r="C638" s="2" t="s">
        <v>14</v>
      </c>
      <c r="D638" s="2" t="s">
        <v>8</v>
      </c>
      <c r="E638" s="2" t="s">
        <v>3</v>
      </c>
      <c r="F638" s="9" t="s">
        <v>17</v>
      </c>
      <c r="G638" s="9" t="str">
        <f t="shared" si="19"/>
        <v>Beverages</v>
      </c>
      <c r="H638" s="25">
        <v>11.71</v>
      </c>
      <c r="I638" s="6">
        <v>2</v>
      </c>
      <c r="J638" s="25">
        <v>1.64</v>
      </c>
      <c r="K638" s="25">
        <v>25.06</v>
      </c>
      <c r="L638" s="9">
        <v>0</v>
      </c>
      <c r="M638" s="39" t="str">
        <f t="shared" si="18"/>
        <v>Normal Transaction</v>
      </c>
    </row>
    <row r="639" spans="1:13" x14ac:dyDescent="0.35">
      <c r="A639" s="27">
        <v>638</v>
      </c>
      <c r="B639" s="2" t="s">
        <v>0</v>
      </c>
      <c r="C639" s="2" t="s">
        <v>14</v>
      </c>
      <c r="D639" s="2" t="s">
        <v>2</v>
      </c>
      <c r="E639" s="2" t="s">
        <v>3</v>
      </c>
      <c r="F639" s="9" t="s">
        <v>17</v>
      </c>
      <c r="G639" s="9" t="str">
        <f t="shared" si="19"/>
        <v>Beverages</v>
      </c>
      <c r="H639" s="25">
        <v>8.8000000000000007</v>
      </c>
      <c r="I639" s="6">
        <v>15</v>
      </c>
      <c r="J639" s="25">
        <v>9.24</v>
      </c>
      <c r="K639" s="25">
        <v>141.24</v>
      </c>
      <c r="L639" s="9">
        <v>14</v>
      </c>
      <c r="M639" s="39" t="str">
        <f t="shared" si="18"/>
        <v>Normal Transaction</v>
      </c>
    </row>
    <row r="640" spans="1:13" x14ac:dyDescent="0.35">
      <c r="A640" s="27">
        <v>639</v>
      </c>
      <c r="B640" s="2" t="s">
        <v>0</v>
      </c>
      <c r="C640" s="2" t="s">
        <v>14</v>
      </c>
      <c r="D640" s="2" t="s">
        <v>2</v>
      </c>
      <c r="E640" s="2" t="s">
        <v>3</v>
      </c>
      <c r="F640" s="9" t="s">
        <v>17</v>
      </c>
      <c r="G640" s="9" t="str">
        <f t="shared" si="19"/>
        <v>Beverages</v>
      </c>
      <c r="H640" s="25">
        <v>14.09</v>
      </c>
      <c r="I640" s="6">
        <v>20</v>
      </c>
      <c r="J640" s="25">
        <v>19.73</v>
      </c>
      <c r="K640" s="25">
        <v>301.52999999999997</v>
      </c>
      <c r="L640" s="9">
        <v>30</v>
      </c>
      <c r="M640" s="39" t="str">
        <f t="shared" si="18"/>
        <v>Normal Transaction</v>
      </c>
    </row>
    <row r="641" spans="1:13" x14ac:dyDescent="0.35">
      <c r="A641" s="27">
        <v>640</v>
      </c>
      <c r="B641" s="2" t="s">
        <v>6</v>
      </c>
      <c r="C641" s="2" t="s">
        <v>7</v>
      </c>
      <c r="D641" s="2" t="s">
        <v>8</v>
      </c>
      <c r="E641" s="2" t="s">
        <v>3</v>
      </c>
      <c r="F641" s="9" t="s">
        <v>17</v>
      </c>
      <c r="G641" s="9" t="str">
        <f t="shared" si="19"/>
        <v>Beverages</v>
      </c>
      <c r="H641" s="25">
        <v>14.33</v>
      </c>
      <c r="I641" s="6">
        <v>20</v>
      </c>
      <c r="J641" s="25">
        <v>20.059999999999999</v>
      </c>
      <c r="K641" s="25">
        <v>306.66000000000003</v>
      </c>
      <c r="L641" s="9">
        <v>0</v>
      </c>
      <c r="M641" s="39" t="str">
        <f t="shared" si="18"/>
        <v>Normal Transaction</v>
      </c>
    </row>
    <row r="642" spans="1:13" x14ac:dyDescent="0.35">
      <c r="A642" s="27">
        <v>641</v>
      </c>
      <c r="B642" s="2" t="s">
        <v>0</v>
      </c>
      <c r="C642" s="2" t="s">
        <v>14</v>
      </c>
      <c r="D642" s="2" t="s">
        <v>8</v>
      </c>
      <c r="E642" s="2" t="s">
        <v>9</v>
      </c>
      <c r="F642" s="9" t="s">
        <v>10</v>
      </c>
      <c r="G642" s="9" t="str">
        <f t="shared" si="19"/>
        <v>Stationery</v>
      </c>
      <c r="H642" s="25">
        <v>4.88</v>
      </c>
      <c r="I642" s="6">
        <v>2</v>
      </c>
      <c r="J642" s="25">
        <v>0.68</v>
      </c>
      <c r="K642" s="25">
        <v>10.44</v>
      </c>
      <c r="L642" s="9">
        <v>0</v>
      </c>
      <c r="M642" s="39" t="str">
        <f t="shared" ref="M642:M705" si="20">IF(K642 &gt; 382.93, "Outlier (Extreme Spend)", "Normal Transaction")</f>
        <v>Normal Transaction</v>
      </c>
    </row>
    <row r="643" spans="1:13" x14ac:dyDescent="0.35">
      <c r="A643" s="27">
        <v>642</v>
      </c>
      <c r="B643" s="2" t="s">
        <v>31</v>
      </c>
      <c r="C643" s="2" t="s">
        <v>1</v>
      </c>
      <c r="D643" s="2" t="s">
        <v>8</v>
      </c>
      <c r="E643" s="2" t="s">
        <v>9</v>
      </c>
      <c r="F643" s="9" t="s">
        <v>15</v>
      </c>
      <c r="G643" s="9" t="str">
        <f t="shared" ref="G643:G706" si="21">_xlfn.XLOOKUP(F643,$Q$2:$Q$6,$R$2:$R$6,"Unknown")</f>
        <v>Household</v>
      </c>
      <c r="H643" s="25">
        <v>17.25</v>
      </c>
      <c r="I643" s="6">
        <v>6</v>
      </c>
      <c r="J643" s="25">
        <v>7.25</v>
      </c>
      <c r="K643" s="25">
        <v>110.75</v>
      </c>
      <c r="L643" s="9">
        <v>0</v>
      </c>
      <c r="M643" s="39" t="str">
        <f t="shared" si="20"/>
        <v>Normal Transaction</v>
      </c>
    </row>
    <row r="644" spans="1:13" x14ac:dyDescent="0.35">
      <c r="A644" s="27">
        <v>643</v>
      </c>
      <c r="B644" s="2" t="s">
        <v>0</v>
      </c>
      <c r="C644" s="2" t="s">
        <v>14</v>
      </c>
      <c r="D644" s="2" t="s">
        <v>2</v>
      </c>
      <c r="E644" s="2" t="s">
        <v>9</v>
      </c>
      <c r="F644" s="9" t="s">
        <v>17</v>
      </c>
      <c r="G644" s="9" t="str">
        <f t="shared" si="21"/>
        <v>Beverages</v>
      </c>
      <c r="H644" s="25">
        <v>5.83</v>
      </c>
      <c r="I644" s="6">
        <v>1</v>
      </c>
      <c r="J644" s="25">
        <v>0.41</v>
      </c>
      <c r="K644" s="25">
        <v>6.24</v>
      </c>
      <c r="L644" s="9">
        <v>0</v>
      </c>
      <c r="M644" s="39" t="str">
        <f t="shared" si="20"/>
        <v>Normal Transaction</v>
      </c>
    </row>
    <row r="645" spans="1:13" x14ac:dyDescent="0.35">
      <c r="A645" s="27">
        <v>644</v>
      </c>
      <c r="B645" s="2" t="s">
        <v>31</v>
      </c>
      <c r="C645" s="2" t="s">
        <v>1</v>
      </c>
      <c r="D645" s="2" t="s">
        <v>8</v>
      </c>
      <c r="E645" s="2" t="s">
        <v>3</v>
      </c>
      <c r="F645" s="9" t="s">
        <v>4</v>
      </c>
      <c r="G645" s="9" t="str">
        <f t="shared" si="21"/>
        <v>Personal Care</v>
      </c>
      <c r="H645" s="25">
        <v>13.2</v>
      </c>
      <c r="I645" s="6">
        <v>16</v>
      </c>
      <c r="J645" s="25">
        <v>14.78</v>
      </c>
      <c r="K645" s="25">
        <v>225.98</v>
      </c>
      <c r="L645" s="9">
        <v>0</v>
      </c>
      <c r="M645" s="39" t="str">
        <f t="shared" si="20"/>
        <v>Normal Transaction</v>
      </c>
    </row>
    <row r="646" spans="1:13" x14ac:dyDescent="0.35">
      <c r="A646" s="27">
        <v>645</v>
      </c>
      <c r="B646" s="2" t="s">
        <v>31</v>
      </c>
      <c r="C646" s="2" t="s">
        <v>1</v>
      </c>
      <c r="D646" s="2" t="s">
        <v>2</v>
      </c>
      <c r="E646" s="2" t="s">
        <v>3</v>
      </c>
      <c r="F646" s="9" t="s">
        <v>4</v>
      </c>
      <c r="G646" s="9" t="str">
        <f t="shared" si="21"/>
        <v>Personal Care</v>
      </c>
      <c r="H646" s="25">
        <v>1.26</v>
      </c>
      <c r="I646" s="6">
        <v>2</v>
      </c>
      <c r="J646" s="25">
        <v>0.18</v>
      </c>
      <c r="K646" s="25">
        <v>2.7</v>
      </c>
      <c r="L646" s="9">
        <v>0</v>
      </c>
      <c r="M646" s="39" t="str">
        <f t="shared" si="20"/>
        <v>Normal Transaction</v>
      </c>
    </row>
    <row r="647" spans="1:13" x14ac:dyDescent="0.35">
      <c r="A647" s="27">
        <v>646</v>
      </c>
      <c r="B647" s="2" t="s">
        <v>6</v>
      </c>
      <c r="C647" s="2" t="s">
        <v>7</v>
      </c>
      <c r="D647" s="2" t="s">
        <v>8</v>
      </c>
      <c r="E647" s="2" t="s">
        <v>3</v>
      </c>
      <c r="F647" s="9" t="s">
        <v>15</v>
      </c>
      <c r="G647" s="9" t="str">
        <f t="shared" si="21"/>
        <v>Household</v>
      </c>
      <c r="H647" s="25">
        <v>19.440000000000001</v>
      </c>
      <c r="I647" s="6">
        <v>14</v>
      </c>
      <c r="J647" s="25">
        <v>19.05</v>
      </c>
      <c r="K647" s="25">
        <v>291.20999999999998</v>
      </c>
      <c r="L647" s="9">
        <v>0</v>
      </c>
      <c r="M647" s="39" t="str">
        <f t="shared" si="20"/>
        <v>Normal Transaction</v>
      </c>
    </row>
    <row r="648" spans="1:13" x14ac:dyDescent="0.35">
      <c r="A648" s="27">
        <v>647</v>
      </c>
      <c r="B648" s="2" t="s">
        <v>0</v>
      </c>
      <c r="C648" s="2" t="s">
        <v>14</v>
      </c>
      <c r="D648" s="2" t="s">
        <v>2</v>
      </c>
      <c r="E648" s="2" t="s">
        <v>3</v>
      </c>
      <c r="F648" s="9" t="s">
        <v>17</v>
      </c>
      <c r="G648" s="9" t="str">
        <f t="shared" si="21"/>
        <v>Beverages</v>
      </c>
      <c r="H648" s="25">
        <v>3.4</v>
      </c>
      <c r="I648" s="6">
        <v>14</v>
      </c>
      <c r="J648" s="25">
        <v>3.33</v>
      </c>
      <c r="K648" s="25">
        <v>50.93</v>
      </c>
      <c r="L648" s="9">
        <v>5</v>
      </c>
      <c r="M648" s="39" t="str">
        <f t="shared" si="20"/>
        <v>Normal Transaction</v>
      </c>
    </row>
    <row r="649" spans="1:13" x14ac:dyDescent="0.35">
      <c r="A649" s="27">
        <v>648</v>
      </c>
      <c r="B649" s="2" t="s">
        <v>6</v>
      </c>
      <c r="C649" s="2" t="s">
        <v>7</v>
      </c>
      <c r="D649" s="2" t="s">
        <v>2</v>
      </c>
      <c r="E649" s="2" t="s">
        <v>3</v>
      </c>
      <c r="F649" s="9" t="s">
        <v>17</v>
      </c>
      <c r="G649" s="9" t="str">
        <f t="shared" si="21"/>
        <v>Beverages</v>
      </c>
      <c r="H649" s="25">
        <v>6.4</v>
      </c>
      <c r="I649" s="6">
        <v>18</v>
      </c>
      <c r="J649" s="25">
        <v>8.06</v>
      </c>
      <c r="K649" s="25">
        <v>123.26</v>
      </c>
      <c r="L649" s="9">
        <v>12</v>
      </c>
      <c r="M649" s="39" t="str">
        <f t="shared" si="20"/>
        <v>Normal Transaction</v>
      </c>
    </row>
    <row r="650" spans="1:13" x14ac:dyDescent="0.35">
      <c r="A650" s="27">
        <v>649</v>
      </c>
      <c r="B650" s="2" t="s">
        <v>0</v>
      </c>
      <c r="C650" s="2" t="s">
        <v>14</v>
      </c>
      <c r="D650" s="2" t="s">
        <v>8</v>
      </c>
      <c r="E650" s="2" t="s">
        <v>9</v>
      </c>
      <c r="F650" s="9" t="s">
        <v>15</v>
      </c>
      <c r="G650" s="9" t="str">
        <f t="shared" si="21"/>
        <v>Household</v>
      </c>
      <c r="H650" s="25">
        <v>7.8</v>
      </c>
      <c r="I650" s="6">
        <v>18</v>
      </c>
      <c r="J650" s="25">
        <v>9.83</v>
      </c>
      <c r="K650" s="25">
        <v>150.22999999999999</v>
      </c>
      <c r="L650" s="9">
        <v>0</v>
      </c>
      <c r="M650" s="39" t="str">
        <f t="shared" si="20"/>
        <v>Normal Transaction</v>
      </c>
    </row>
    <row r="651" spans="1:13" x14ac:dyDescent="0.35">
      <c r="A651" s="27">
        <v>650</v>
      </c>
      <c r="B651" s="2" t="s">
        <v>0</v>
      </c>
      <c r="C651" s="2" t="s">
        <v>14</v>
      </c>
      <c r="D651" s="2" t="s">
        <v>8</v>
      </c>
      <c r="E651" s="2" t="s">
        <v>3</v>
      </c>
      <c r="F651" s="9" t="s">
        <v>10</v>
      </c>
      <c r="G651" s="9" t="str">
        <f t="shared" si="21"/>
        <v>Stationery</v>
      </c>
      <c r="H651" s="25">
        <v>2.31</v>
      </c>
      <c r="I651" s="6">
        <v>9</v>
      </c>
      <c r="J651" s="25">
        <v>1.46</v>
      </c>
      <c r="K651" s="25">
        <v>22.25</v>
      </c>
      <c r="L651" s="9">
        <v>0</v>
      </c>
      <c r="M651" s="39" t="str">
        <f t="shared" si="20"/>
        <v>Normal Transaction</v>
      </c>
    </row>
    <row r="652" spans="1:13" x14ac:dyDescent="0.35">
      <c r="A652" s="27">
        <v>651</v>
      </c>
      <c r="B652" s="2" t="s">
        <v>0</v>
      </c>
      <c r="C652" s="2" t="s">
        <v>14</v>
      </c>
      <c r="D652" s="2" t="s">
        <v>8</v>
      </c>
      <c r="E652" s="2" t="s">
        <v>9</v>
      </c>
      <c r="F652" s="9" t="s">
        <v>4</v>
      </c>
      <c r="G652" s="9" t="str">
        <f t="shared" si="21"/>
        <v>Personal Care</v>
      </c>
      <c r="H652" s="25">
        <v>4.5199999999999996</v>
      </c>
      <c r="I652" s="6">
        <v>5</v>
      </c>
      <c r="J652" s="25">
        <v>1.58</v>
      </c>
      <c r="K652" s="25">
        <v>24.18</v>
      </c>
      <c r="L652" s="9">
        <v>0</v>
      </c>
      <c r="M652" s="39" t="str">
        <f t="shared" si="20"/>
        <v>Normal Transaction</v>
      </c>
    </row>
    <row r="653" spans="1:13" x14ac:dyDescent="0.35">
      <c r="A653" s="27">
        <v>652</v>
      </c>
      <c r="B653" s="2" t="s">
        <v>0</v>
      </c>
      <c r="C653" s="2" t="s">
        <v>14</v>
      </c>
      <c r="D653" s="2" t="s">
        <v>2</v>
      </c>
      <c r="E653" s="2" t="s">
        <v>9</v>
      </c>
      <c r="F653" s="9" t="s">
        <v>17</v>
      </c>
      <c r="G653" s="9" t="str">
        <f t="shared" si="21"/>
        <v>Beverages</v>
      </c>
      <c r="H653" s="25">
        <v>13.53</v>
      </c>
      <c r="I653" s="6">
        <v>18</v>
      </c>
      <c r="J653" s="25">
        <v>17.05</v>
      </c>
      <c r="K653" s="25">
        <v>260.58999999999997</v>
      </c>
      <c r="L653" s="9">
        <v>26</v>
      </c>
      <c r="M653" s="39" t="str">
        <f t="shared" si="20"/>
        <v>Normal Transaction</v>
      </c>
    </row>
    <row r="654" spans="1:13" x14ac:dyDescent="0.35">
      <c r="A654" s="27">
        <v>653</v>
      </c>
      <c r="B654" s="2" t="s">
        <v>31</v>
      </c>
      <c r="C654" s="2" t="s">
        <v>1</v>
      </c>
      <c r="D654" s="2" t="s">
        <v>8</v>
      </c>
      <c r="E654" s="2" t="s">
        <v>3</v>
      </c>
      <c r="F654" s="9" t="s">
        <v>15</v>
      </c>
      <c r="G654" s="9" t="str">
        <f t="shared" si="21"/>
        <v>Household</v>
      </c>
      <c r="H654" s="25">
        <v>19.71</v>
      </c>
      <c r="I654" s="6">
        <v>16</v>
      </c>
      <c r="J654" s="25">
        <v>22.08</v>
      </c>
      <c r="K654" s="25">
        <v>337.44</v>
      </c>
      <c r="L654" s="9">
        <v>0</v>
      </c>
      <c r="M654" s="39" t="str">
        <f t="shared" si="20"/>
        <v>Normal Transaction</v>
      </c>
    </row>
    <row r="655" spans="1:13" x14ac:dyDescent="0.35">
      <c r="A655" s="27">
        <v>654</v>
      </c>
      <c r="B655" s="2" t="s">
        <v>0</v>
      </c>
      <c r="C655" s="2" t="s">
        <v>14</v>
      </c>
      <c r="D655" s="2" t="s">
        <v>2</v>
      </c>
      <c r="E655" s="2" t="s">
        <v>9</v>
      </c>
      <c r="F655" s="9" t="s">
        <v>15</v>
      </c>
      <c r="G655" s="9" t="str">
        <f t="shared" si="21"/>
        <v>Household</v>
      </c>
      <c r="H655" s="25">
        <v>10.14</v>
      </c>
      <c r="I655" s="6">
        <v>14</v>
      </c>
      <c r="J655" s="25">
        <v>9.94</v>
      </c>
      <c r="K655" s="25">
        <v>151.9</v>
      </c>
      <c r="L655" s="9">
        <v>15</v>
      </c>
      <c r="M655" s="39" t="str">
        <f t="shared" si="20"/>
        <v>Normal Transaction</v>
      </c>
    </row>
    <row r="656" spans="1:13" x14ac:dyDescent="0.35">
      <c r="A656" s="27">
        <v>655</v>
      </c>
      <c r="B656" s="2" t="s">
        <v>6</v>
      </c>
      <c r="C656" s="2" t="s">
        <v>7</v>
      </c>
      <c r="D656" s="2" t="s">
        <v>2</v>
      </c>
      <c r="E656" s="2" t="s">
        <v>3</v>
      </c>
      <c r="F656" s="9" t="s">
        <v>4</v>
      </c>
      <c r="G656" s="9" t="str">
        <f t="shared" si="21"/>
        <v>Personal Care</v>
      </c>
      <c r="H656" s="25">
        <v>11.2</v>
      </c>
      <c r="I656" s="6">
        <v>4</v>
      </c>
      <c r="J656" s="25">
        <v>3.14</v>
      </c>
      <c r="K656" s="25">
        <v>47.94</v>
      </c>
      <c r="L656" s="9">
        <v>4</v>
      </c>
      <c r="M656" s="39" t="str">
        <f t="shared" si="20"/>
        <v>Normal Transaction</v>
      </c>
    </row>
    <row r="657" spans="1:13" x14ac:dyDescent="0.35">
      <c r="A657" s="27">
        <v>656</v>
      </c>
      <c r="B657" s="2" t="s">
        <v>0</v>
      </c>
      <c r="C657" s="2" t="s">
        <v>14</v>
      </c>
      <c r="D657" s="2" t="s">
        <v>2</v>
      </c>
      <c r="E657" s="2" t="s">
        <v>9</v>
      </c>
      <c r="F657" s="9" t="s">
        <v>12</v>
      </c>
      <c r="G657" s="9" t="str">
        <f t="shared" si="21"/>
        <v>Fruits</v>
      </c>
      <c r="H657" s="25">
        <v>2.0099999999999998</v>
      </c>
      <c r="I657" s="6">
        <v>3</v>
      </c>
      <c r="J657" s="25">
        <v>0.42</v>
      </c>
      <c r="K657" s="25">
        <v>6.45</v>
      </c>
      <c r="L657" s="9">
        <v>0</v>
      </c>
      <c r="M657" s="39" t="str">
        <f t="shared" si="20"/>
        <v>Normal Transaction</v>
      </c>
    </row>
    <row r="658" spans="1:13" x14ac:dyDescent="0.35">
      <c r="A658" s="27">
        <v>657</v>
      </c>
      <c r="B658" s="2" t="s">
        <v>31</v>
      </c>
      <c r="C658" s="2" t="s">
        <v>1</v>
      </c>
      <c r="D658" s="2" t="s">
        <v>2</v>
      </c>
      <c r="E658" s="2" t="s">
        <v>3</v>
      </c>
      <c r="F658" s="9" t="s">
        <v>15</v>
      </c>
      <c r="G658" s="9" t="str">
        <f t="shared" si="21"/>
        <v>Household</v>
      </c>
      <c r="H658" s="25">
        <v>4.1399999999999997</v>
      </c>
      <c r="I658" s="6">
        <v>2</v>
      </c>
      <c r="J658" s="25">
        <v>0.57999999999999996</v>
      </c>
      <c r="K658" s="25">
        <v>8.86</v>
      </c>
      <c r="L658" s="9">
        <v>0</v>
      </c>
      <c r="M658" s="39" t="str">
        <f t="shared" si="20"/>
        <v>Normal Transaction</v>
      </c>
    </row>
    <row r="659" spans="1:13" x14ac:dyDescent="0.35">
      <c r="A659" s="27">
        <v>658</v>
      </c>
      <c r="B659" s="2" t="s">
        <v>0</v>
      </c>
      <c r="C659" s="2" t="s">
        <v>14</v>
      </c>
      <c r="D659" s="2" t="s">
        <v>8</v>
      </c>
      <c r="E659" s="2" t="s">
        <v>9</v>
      </c>
      <c r="F659" s="9" t="s">
        <v>17</v>
      </c>
      <c r="G659" s="9" t="str">
        <f t="shared" si="21"/>
        <v>Beverages</v>
      </c>
      <c r="H659" s="25">
        <v>16.47</v>
      </c>
      <c r="I659" s="6">
        <v>16</v>
      </c>
      <c r="J659" s="25">
        <v>18.45</v>
      </c>
      <c r="K659" s="25">
        <v>281.97000000000003</v>
      </c>
      <c r="L659" s="9">
        <v>0</v>
      </c>
      <c r="M659" s="39" t="str">
        <f t="shared" si="20"/>
        <v>Normal Transaction</v>
      </c>
    </row>
    <row r="660" spans="1:13" x14ac:dyDescent="0.35">
      <c r="A660" s="27">
        <v>659</v>
      </c>
      <c r="B660" s="2" t="s">
        <v>0</v>
      </c>
      <c r="C660" s="2" t="s">
        <v>14</v>
      </c>
      <c r="D660" s="2" t="s">
        <v>2</v>
      </c>
      <c r="E660" s="2" t="s">
        <v>3</v>
      </c>
      <c r="F660" s="9" t="s">
        <v>17</v>
      </c>
      <c r="G660" s="9" t="str">
        <f t="shared" si="21"/>
        <v>Beverages</v>
      </c>
      <c r="H660" s="25">
        <v>12.7</v>
      </c>
      <c r="I660" s="6">
        <v>4</v>
      </c>
      <c r="J660" s="25">
        <v>3.56</v>
      </c>
      <c r="K660" s="25">
        <v>54.36</v>
      </c>
      <c r="L660" s="9">
        <v>5</v>
      </c>
      <c r="M660" s="39" t="str">
        <f t="shared" si="20"/>
        <v>Normal Transaction</v>
      </c>
    </row>
    <row r="661" spans="1:13" x14ac:dyDescent="0.35">
      <c r="A661" s="27">
        <v>660</v>
      </c>
      <c r="B661" s="2" t="s">
        <v>6</v>
      </c>
      <c r="C661" s="2" t="s">
        <v>7</v>
      </c>
      <c r="D661" s="2" t="s">
        <v>2</v>
      </c>
      <c r="E661" s="2" t="s">
        <v>9</v>
      </c>
      <c r="F661" s="9" t="s">
        <v>10</v>
      </c>
      <c r="G661" s="9" t="str">
        <f t="shared" si="21"/>
        <v>Stationery</v>
      </c>
      <c r="H661" s="25">
        <v>10.72</v>
      </c>
      <c r="I661" s="6">
        <v>18</v>
      </c>
      <c r="J661" s="25">
        <v>13.51</v>
      </c>
      <c r="K661" s="25">
        <v>206.47</v>
      </c>
      <c r="L661" s="9">
        <v>20</v>
      </c>
      <c r="M661" s="39" t="str">
        <f t="shared" si="20"/>
        <v>Normal Transaction</v>
      </c>
    </row>
    <row r="662" spans="1:13" x14ac:dyDescent="0.35">
      <c r="A662" s="27">
        <v>661</v>
      </c>
      <c r="B662" s="2" t="s">
        <v>31</v>
      </c>
      <c r="C662" s="2" t="s">
        <v>1</v>
      </c>
      <c r="D662" s="2" t="s">
        <v>2</v>
      </c>
      <c r="E662" s="2" t="s">
        <v>9</v>
      </c>
      <c r="F662" s="9" t="s">
        <v>4</v>
      </c>
      <c r="G662" s="9" t="str">
        <f t="shared" si="21"/>
        <v>Personal Care</v>
      </c>
      <c r="H662" s="25">
        <v>15.29</v>
      </c>
      <c r="I662" s="6">
        <v>3</v>
      </c>
      <c r="J662" s="25">
        <v>3.21</v>
      </c>
      <c r="K662" s="25">
        <v>49.08</v>
      </c>
      <c r="L662" s="9">
        <v>4</v>
      </c>
      <c r="M662" s="39" t="str">
        <f t="shared" si="20"/>
        <v>Normal Transaction</v>
      </c>
    </row>
    <row r="663" spans="1:13" x14ac:dyDescent="0.35">
      <c r="A663" s="27">
        <v>662</v>
      </c>
      <c r="B663" s="2" t="s">
        <v>31</v>
      </c>
      <c r="C663" s="2" t="s">
        <v>1</v>
      </c>
      <c r="D663" s="2" t="s">
        <v>2</v>
      </c>
      <c r="E663" s="2" t="s">
        <v>3</v>
      </c>
      <c r="F663" s="9" t="s">
        <v>10</v>
      </c>
      <c r="G663" s="9" t="str">
        <f t="shared" si="21"/>
        <v>Stationery</v>
      </c>
      <c r="H663" s="25">
        <v>12.5</v>
      </c>
      <c r="I663" s="6">
        <v>14</v>
      </c>
      <c r="J663" s="25">
        <v>12.25</v>
      </c>
      <c r="K663" s="25">
        <v>187.25</v>
      </c>
      <c r="L663" s="9">
        <v>18</v>
      </c>
      <c r="M663" s="39" t="str">
        <f t="shared" si="20"/>
        <v>Normal Transaction</v>
      </c>
    </row>
    <row r="664" spans="1:13" x14ac:dyDescent="0.35">
      <c r="A664" s="27">
        <v>663</v>
      </c>
      <c r="B664" s="2" t="s">
        <v>6</v>
      </c>
      <c r="C664" s="2" t="s">
        <v>7</v>
      </c>
      <c r="D664" s="2" t="s">
        <v>2</v>
      </c>
      <c r="E664" s="2" t="s">
        <v>3</v>
      </c>
      <c r="F664" s="9" t="s">
        <v>17</v>
      </c>
      <c r="G664" s="9" t="str">
        <f t="shared" si="21"/>
        <v>Beverages</v>
      </c>
      <c r="H664" s="25">
        <v>18.95</v>
      </c>
      <c r="I664" s="6">
        <v>18</v>
      </c>
      <c r="J664" s="25">
        <v>23.88</v>
      </c>
      <c r="K664" s="25">
        <v>364.98</v>
      </c>
      <c r="L664" s="9">
        <v>36</v>
      </c>
      <c r="M664" s="39" t="str">
        <f t="shared" si="20"/>
        <v>Normal Transaction</v>
      </c>
    </row>
    <row r="665" spans="1:13" x14ac:dyDescent="0.35">
      <c r="A665" s="27">
        <v>664</v>
      </c>
      <c r="B665" s="2" t="s">
        <v>31</v>
      </c>
      <c r="C665" s="2" t="s">
        <v>1</v>
      </c>
      <c r="D665" s="2" t="s">
        <v>8</v>
      </c>
      <c r="E665" s="2" t="s">
        <v>3</v>
      </c>
      <c r="F665" s="9" t="s">
        <v>4</v>
      </c>
      <c r="G665" s="9" t="str">
        <f t="shared" si="21"/>
        <v>Personal Care</v>
      </c>
      <c r="H665" s="25">
        <v>13.71</v>
      </c>
      <c r="I665" s="6">
        <v>14</v>
      </c>
      <c r="J665" s="25">
        <v>13.44</v>
      </c>
      <c r="K665" s="25">
        <v>205.38</v>
      </c>
      <c r="L665" s="9">
        <v>0</v>
      </c>
      <c r="M665" s="39" t="str">
        <f t="shared" si="20"/>
        <v>Normal Transaction</v>
      </c>
    </row>
    <row r="666" spans="1:13" x14ac:dyDescent="0.35">
      <c r="A666" s="27">
        <v>665</v>
      </c>
      <c r="B666" s="2" t="s">
        <v>6</v>
      </c>
      <c r="C666" s="2" t="s">
        <v>7</v>
      </c>
      <c r="D666" s="2" t="s">
        <v>8</v>
      </c>
      <c r="E666" s="2" t="s">
        <v>3</v>
      </c>
      <c r="F666" s="9" t="s">
        <v>4</v>
      </c>
      <c r="G666" s="9" t="str">
        <f t="shared" si="21"/>
        <v>Personal Care</v>
      </c>
      <c r="H666" s="25">
        <v>8.36</v>
      </c>
      <c r="I666" s="6">
        <v>2</v>
      </c>
      <c r="J666" s="25">
        <v>1.17</v>
      </c>
      <c r="K666" s="25">
        <v>17.89</v>
      </c>
      <c r="L666" s="9">
        <v>0</v>
      </c>
      <c r="M666" s="39" t="str">
        <f t="shared" si="20"/>
        <v>Normal Transaction</v>
      </c>
    </row>
    <row r="667" spans="1:13" x14ac:dyDescent="0.35">
      <c r="A667" s="27">
        <v>666</v>
      </c>
      <c r="B667" s="2" t="s">
        <v>0</v>
      </c>
      <c r="C667" s="2" t="s">
        <v>14</v>
      </c>
      <c r="D667" s="2" t="s">
        <v>8</v>
      </c>
      <c r="E667" s="2" t="s">
        <v>9</v>
      </c>
      <c r="F667" s="9" t="s">
        <v>15</v>
      </c>
      <c r="G667" s="9" t="str">
        <f t="shared" si="21"/>
        <v>Household</v>
      </c>
      <c r="H667" s="25">
        <v>14.62</v>
      </c>
      <c r="I667" s="6">
        <v>1</v>
      </c>
      <c r="J667" s="25">
        <v>1.02</v>
      </c>
      <c r="K667" s="25">
        <v>15.64</v>
      </c>
      <c r="L667" s="9">
        <v>0</v>
      </c>
      <c r="M667" s="39" t="str">
        <f t="shared" si="20"/>
        <v>Normal Transaction</v>
      </c>
    </row>
    <row r="668" spans="1:13" x14ac:dyDescent="0.35">
      <c r="A668" s="27">
        <v>667</v>
      </c>
      <c r="B668" s="2" t="s">
        <v>6</v>
      </c>
      <c r="C668" s="2" t="s">
        <v>7</v>
      </c>
      <c r="D668" s="2" t="s">
        <v>8</v>
      </c>
      <c r="E668" s="2" t="s">
        <v>9</v>
      </c>
      <c r="F668" s="9" t="s">
        <v>15</v>
      </c>
      <c r="G668" s="9" t="str">
        <f t="shared" si="21"/>
        <v>Household</v>
      </c>
      <c r="H668" s="25">
        <v>13.93</v>
      </c>
      <c r="I668" s="6">
        <v>16</v>
      </c>
      <c r="J668" s="25">
        <v>15.6</v>
      </c>
      <c r="K668" s="25">
        <v>238.48</v>
      </c>
      <c r="L668" s="9">
        <v>0</v>
      </c>
      <c r="M668" s="39" t="str">
        <f t="shared" si="20"/>
        <v>Normal Transaction</v>
      </c>
    </row>
    <row r="669" spans="1:13" x14ac:dyDescent="0.35">
      <c r="A669" s="27">
        <v>668</v>
      </c>
      <c r="B669" s="2" t="s">
        <v>31</v>
      </c>
      <c r="C669" s="2" t="s">
        <v>1</v>
      </c>
      <c r="D669" s="2" t="s">
        <v>2</v>
      </c>
      <c r="E669" s="2" t="s">
        <v>3</v>
      </c>
      <c r="F669" s="9" t="s">
        <v>15</v>
      </c>
      <c r="G669" s="9" t="str">
        <f t="shared" si="21"/>
        <v>Household</v>
      </c>
      <c r="H669" s="25">
        <v>18</v>
      </c>
      <c r="I669" s="6">
        <v>13</v>
      </c>
      <c r="J669" s="25">
        <v>16.38</v>
      </c>
      <c r="K669" s="25">
        <v>250.38</v>
      </c>
      <c r="L669" s="9">
        <v>25</v>
      </c>
      <c r="M669" s="39" t="str">
        <f t="shared" si="20"/>
        <v>Normal Transaction</v>
      </c>
    </row>
    <row r="670" spans="1:13" x14ac:dyDescent="0.35">
      <c r="A670" s="27">
        <v>669</v>
      </c>
      <c r="B670" s="2" t="s">
        <v>0</v>
      </c>
      <c r="C670" s="2" t="s">
        <v>14</v>
      </c>
      <c r="D670" s="2" t="s">
        <v>2</v>
      </c>
      <c r="E670" s="2" t="s">
        <v>9</v>
      </c>
      <c r="F670" s="9" t="s">
        <v>12</v>
      </c>
      <c r="G670" s="9" t="str">
        <f t="shared" si="21"/>
        <v>Fruits</v>
      </c>
      <c r="H670" s="25">
        <v>14.55</v>
      </c>
      <c r="I670" s="6">
        <v>4</v>
      </c>
      <c r="J670" s="25">
        <v>4.07</v>
      </c>
      <c r="K670" s="25">
        <v>62.27</v>
      </c>
      <c r="L670" s="9">
        <v>6</v>
      </c>
      <c r="M670" s="39" t="str">
        <f t="shared" si="20"/>
        <v>Normal Transaction</v>
      </c>
    </row>
    <row r="671" spans="1:13" x14ac:dyDescent="0.35">
      <c r="A671" s="27">
        <v>670</v>
      </c>
      <c r="B671" s="2" t="s">
        <v>31</v>
      </c>
      <c r="C671" s="2" t="s">
        <v>1</v>
      </c>
      <c r="D671" s="2" t="s">
        <v>2</v>
      </c>
      <c r="E671" s="2" t="s">
        <v>9</v>
      </c>
      <c r="F671" s="9" t="s">
        <v>4</v>
      </c>
      <c r="G671" s="9" t="str">
        <f t="shared" si="21"/>
        <v>Personal Care</v>
      </c>
      <c r="H671" s="25">
        <v>17.399999999999999</v>
      </c>
      <c r="I671" s="6">
        <v>8</v>
      </c>
      <c r="J671" s="25">
        <v>9.74</v>
      </c>
      <c r="K671" s="25">
        <v>148.94</v>
      </c>
      <c r="L671" s="9">
        <v>14</v>
      </c>
      <c r="M671" s="39" t="str">
        <f t="shared" si="20"/>
        <v>Normal Transaction</v>
      </c>
    </row>
    <row r="672" spans="1:13" x14ac:dyDescent="0.35">
      <c r="A672" s="27">
        <v>671</v>
      </c>
      <c r="B672" s="2" t="s">
        <v>31</v>
      </c>
      <c r="C672" s="2" t="s">
        <v>1</v>
      </c>
      <c r="D672" s="2" t="s">
        <v>2</v>
      </c>
      <c r="E672" s="2" t="s">
        <v>3</v>
      </c>
      <c r="F672" s="9" t="s">
        <v>17</v>
      </c>
      <c r="G672" s="9" t="str">
        <f t="shared" si="21"/>
        <v>Beverages</v>
      </c>
      <c r="H672" s="25">
        <v>2.4700000000000002</v>
      </c>
      <c r="I672" s="6">
        <v>4</v>
      </c>
      <c r="J672" s="25">
        <v>0.69</v>
      </c>
      <c r="K672" s="25">
        <v>10.57</v>
      </c>
      <c r="L672" s="9">
        <v>1</v>
      </c>
      <c r="M672" s="39" t="str">
        <f t="shared" si="20"/>
        <v>Normal Transaction</v>
      </c>
    </row>
    <row r="673" spans="1:13" x14ac:dyDescent="0.35">
      <c r="A673" s="27">
        <v>672</v>
      </c>
      <c r="B673" s="2" t="s">
        <v>6</v>
      </c>
      <c r="C673" s="2" t="s">
        <v>7</v>
      </c>
      <c r="D673" s="2" t="s">
        <v>2</v>
      </c>
      <c r="E673" s="2" t="s">
        <v>3</v>
      </c>
      <c r="F673" s="9" t="s">
        <v>10</v>
      </c>
      <c r="G673" s="9" t="str">
        <f t="shared" si="21"/>
        <v>Stationery</v>
      </c>
      <c r="H673" s="25">
        <v>7.03</v>
      </c>
      <c r="I673" s="6">
        <v>16</v>
      </c>
      <c r="J673" s="25">
        <v>7.87</v>
      </c>
      <c r="K673" s="25">
        <v>120.35</v>
      </c>
      <c r="L673" s="9">
        <v>12</v>
      </c>
      <c r="M673" s="39" t="str">
        <f t="shared" si="20"/>
        <v>Normal Transaction</v>
      </c>
    </row>
    <row r="674" spans="1:13" x14ac:dyDescent="0.35">
      <c r="A674" s="27">
        <v>673</v>
      </c>
      <c r="B674" s="2" t="s">
        <v>0</v>
      </c>
      <c r="C674" s="2" t="s">
        <v>14</v>
      </c>
      <c r="D674" s="2" t="s">
        <v>2</v>
      </c>
      <c r="E674" s="2" t="s">
        <v>3</v>
      </c>
      <c r="F674" s="9" t="s">
        <v>4</v>
      </c>
      <c r="G674" s="9" t="str">
        <f t="shared" si="21"/>
        <v>Personal Care</v>
      </c>
      <c r="H674" s="25">
        <v>17.59</v>
      </c>
      <c r="I674" s="6">
        <v>1</v>
      </c>
      <c r="J674" s="25">
        <v>1.23</v>
      </c>
      <c r="K674" s="25">
        <v>18.82</v>
      </c>
      <c r="L674" s="9">
        <v>1</v>
      </c>
      <c r="M674" s="39" t="str">
        <f t="shared" si="20"/>
        <v>Normal Transaction</v>
      </c>
    </row>
    <row r="675" spans="1:13" x14ac:dyDescent="0.35">
      <c r="A675" s="27">
        <v>674</v>
      </c>
      <c r="B675" s="2" t="s">
        <v>0</v>
      </c>
      <c r="C675" s="2" t="s">
        <v>14</v>
      </c>
      <c r="D675" s="2" t="s">
        <v>2</v>
      </c>
      <c r="E675" s="2" t="s">
        <v>3</v>
      </c>
      <c r="F675" s="9" t="s">
        <v>17</v>
      </c>
      <c r="G675" s="9" t="str">
        <f t="shared" si="21"/>
        <v>Beverages</v>
      </c>
      <c r="H675" s="25">
        <v>17.600000000000001</v>
      </c>
      <c r="I675" s="6">
        <v>5</v>
      </c>
      <c r="J675" s="25">
        <v>6.16</v>
      </c>
      <c r="K675" s="25">
        <v>94.16</v>
      </c>
      <c r="L675" s="9">
        <v>9</v>
      </c>
      <c r="M675" s="39" t="str">
        <f t="shared" si="20"/>
        <v>Normal Transaction</v>
      </c>
    </row>
    <row r="676" spans="1:13" x14ac:dyDescent="0.35">
      <c r="A676" s="27">
        <v>675</v>
      </c>
      <c r="B676" s="2" t="s">
        <v>6</v>
      </c>
      <c r="C676" s="2" t="s">
        <v>7</v>
      </c>
      <c r="D676" s="2" t="s">
        <v>8</v>
      </c>
      <c r="E676" s="2" t="s">
        <v>3</v>
      </c>
      <c r="F676" s="9" t="s">
        <v>17</v>
      </c>
      <c r="G676" s="9" t="str">
        <f t="shared" si="21"/>
        <v>Beverages</v>
      </c>
      <c r="H676" s="25">
        <v>10.42</v>
      </c>
      <c r="I676" s="6">
        <v>3</v>
      </c>
      <c r="J676" s="25">
        <v>2.19</v>
      </c>
      <c r="K676" s="25">
        <v>33.450000000000003</v>
      </c>
      <c r="L676" s="9">
        <v>0</v>
      </c>
      <c r="M676" s="39" t="str">
        <f t="shared" si="20"/>
        <v>Normal Transaction</v>
      </c>
    </row>
    <row r="677" spans="1:13" x14ac:dyDescent="0.35">
      <c r="A677" s="27">
        <v>676</v>
      </c>
      <c r="B677" s="2" t="s">
        <v>6</v>
      </c>
      <c r="C677" s="2" t="s">
        <v>7</v>
      </c>
      <c r="D677" s="2" t="s">
        <v>8</v>
      </c>
      <c r="E677" s="2" t="s">
        <v>3</v>
      </c>
      <c r="F677" s="9" t="s">
        <v>15</v>
      </c>
      <c r="G677" s="9" t="str">
        <f t="shared" si="21"/>
        <v>Household</v>
      </c>
      <c r="H677" s="25">
        <v>10.82</v>
      </c>
      <c r="I677" s="6">
        <v>9</v>
      </c>
      <c r="J677" s="25">
        <v>6.82</v>
      </c>
      <c r="K677" s="25">
        <v>104.2</v>
      </c>
      <c r="L677" s="9">
        <v>0</v>
      </c>
      <c r="M677" s="39" t="str">
        <f t="shared" si="20"/>
        <v>Normal Transaction</v>
      </c>
    </row>
    <row r="678" spans="1:13" x14ac:dyDescent="0.35">
      <c r="A678" s="27">
        <v>677</v>
      </c>
      <c r="B678" s="2" t="s">
        <v>31</v>
      </c>
      <c r="C678" s="2" t="s">
        <v>1</v>
      </c>
      <c r="D678" s="2" t="s">
        <v>2</v>
      </c>
      <c r="E678" s="2" t="s">
        <v>3</v>
      </c>
      <c r="F678" s="9" t="s">
        <v>4</v>
      </c>
      <c r="G678" s="9" t="str">
        <f t="shared" si="21"/>
        <v>Personal Care</v>
      </c>
      <c r="H678" s="25">
        <v>16.489999999999998</v>
      </c>
      <c r="I678" s="6">
        <v>4</v>
      </c>
      <c r="J678" s="25">
        <v>4.62</v>
      </c>
      <c r="K678" s="25">
        <v>70.58</v>
      </c>
      <c r="L678" s="9">
        <v>7</v>
      </c>
      <c r="M678" s="39" t="str">
        <f t="shared" si="20"/>
        <v>Normal Transaction</v>
      </c>
    </row>
    <row r="679" spans="1:13" x14ac:dyDescent="0.35">
      <c r="A679" s="27">
        <v>678</v>
      </c>
      <c r="B679" s="2" t="s">
        <v>31</v>
      </c>
      <c r="C679" s="2" t="s">
        <v>1</v>
      </c>
      <c r="D679" s="2" t="s">
        <v>2</v>
      </c>
      <c r="E679" s="2" t="s">
        <v>3</v>
      </c>
      <c r="F679" s="9" t="s">
        <v>17</v>
      </c>
      <c r="G679" s="9" t="str">
        <f t="shared" si="21"/>
        <v>Beverages</v>
      </c>
      <c r="H679" s="25">
        <v>4.58</v>
      </c>
      <c r="I679" s="6">
        <v>7</v>
      </c>
      <c r="J679" s="25">
        <v>2.2400000000000002</v>
      </c>
      <c r="K679" s="25">
        <v>34.299999999999997</v>
      </c>
      <c r="L679" s="9">
        <v>3</v>
      </c>
      <c r="M679" s="39" t="str">
        <f t="shared" si="20"/>
        <v>Normal Transaction</v>
      </c>
    </row>
    <row r="680" spans="1:13" x14ac:dyDescent="0.35">
      <c r="A680" s="27">
        <v>679</v>
      </c>
      <c r="B680" s="2" t="s">
        <v>6</v>
      </c>
      <c r="C680" s="2" t="s">
        <v>7</v>
      </c>
      <c r="D680" s="2" t="s">
        <v>8</v>
      </c>
      <c r="E680" s="2" t="s">
        <v>3</v>
      </c>
      <c r="F680" s="9" t="s">
        <v>12</v>
      </c>
      <c r="G680" s="9" t="str">
        <f t="shared" si="21"/>
        <v>Fruits</v>
      </c>
      <c r="H680" s="25">
        <v>4.5199999999999996</v>
      </c>
      <c r="I680" s="6">
        <v>11</v>
      </c>
      <c r="J680" s="25">
        <v>3.48</v>
      </c>
      <c r="K680" s="25">
        <v>53.2</v>
      </c>
      <c r="L680" s="9">
        <v>0</v>
      </c>
      <c r="M680" s="39" t="str">
        <f t="shared" si="20"/>
        <v>Normal Transaction</v>
      </c>
    </row>
    <row r="681" spans="1:13" x14ac:dyDescent="0.35">
      <c r="A681" s="27">
        <v>680</v>
      </c>
      <c r="B681" s="2" t="s">
        <v>0</v>
      </c>
      <c r="C681" s="2" t="s">
        <v>14</v>
      </c>
      <c r="D681" s="2" t="s">
        <v>2</v>
      </c>
      <c r="E681" s="2" t="s">
        <v>9</v>
      </c>
      <c r="F681" s="9" t="s">
        <v>15</v>
      </c>
      <c r="G681" s="9" t="str">
        <f t="shared" si="21"/>
        <v>Household</v>
      </c>
      <c r="H681" s="25">
        <v>15.75</v>
      </c>
      <c r="I681" s="6">
        <v>18</v>
      </c>
      <c r="J681" s="25">
        <v>19.850000000000001</v>
      </c>
      <c r="K681" s="25">
        <v>303.35000000000002</v>
      </c>
      <c r="L681" s="9">
        <v>30</v>
      </c>
      <c r="M681" s="39" t="str">
        <f t="shared" si="20"/>
        <v>Normal Transaction</v>
      </c>
    </row>
    <row r="682" spans="1:13" x14ac:dyDescent="0.35">
      <c r="A682" s="27">
        <v>681</v>
      </c>
      <c r="B682" s="2" t="s">
        <v>0</v>
      </c>
      <c r="C682" s="2" t="s">
        <v>14</v>
      </c>
      <c r="D682" s="2" t="s">
        <v>8</v>
      </c>
      <c r="E682" s="2" t="s">
        <v>3</v>
      </c>
      <c r="F682" s="9" t="s">
        <v>15</v>
      </c>
      <c r="G682" s="9" t="str">
        <f t="shared" si="21"/>
        <v>Household</v>
      </c>
      <c r="H682" s="25">
        <v>14.31</v>
      </c>
      <c r="I682" s="6">
        <v>7</v>
      </c>
      <c r="J682" s="25">
        <v>7.01</v>
      </c>
      <c r="K682" s="25">
        <v>107.18</v>
      </c>
      <c r="L682" s="9">
        <v>0</v>
      </c>
      <c r="M682" s="39" t="str">
        <f t="shared" si="20"/>
        <v>Normal Transaction</v>
      </c>
    </row>
    <row r="683" spans="1:13" x14ac:dyDescent="0.35">
      <c r="A683" s="27">
        <v>682</v>
      </c>
      <c r="B683" s="2" t="s">
        <v>0</v>
      </c>
      <c r="C683" s="2" t="s">
        <v>14</v>
      </c>
      <c r="D683" s="2" t="s">
        <v>2</v>
      </c>
      <c r="E683" s="2" t="s">
        <v>9</v>
      </c>
      <c r="F683" s="9" t="s">
        <v>12</v>
      </c>
      <c r="G683" s="9" t="str">
        <f t="shared" si="21"/>
        <v>Fruits</v>
      </c>
      <c r="H683" s="25">
        <v>19.77</v>
      </c>
      <c r="I683" s="6">
        <v>8</v>
      </c>
      <c r="J683" s="25">
        <v>11.07</v>
      </c>
      <c r="K683" s="25">
        <v>169.23</v>
      </c>
      <c r="L683" s="9">
        <v>16</v>
      </c>
      <c r="M683" s="39" t="str">
        <f t="shared" si="20"/>
        <v>Normal Transaction</v>
      </c>
    </row>
    <row r="684" spans="1:13" x14ac:dyDescent="0.35">
      <c r="A684" s="27">
        <v>683</v>
      </c>
      <c r="B684" s="2" t="s">
        <v>31</v>
      </c>
      <c r="C684" s="2" t="s">
        <v>1</v>
      </c>
      <c r="D684" s="2" t="s">
        <v>2</v>
      </c>
      <c r="E684" s="2" t="s">
        <v>3</v>
      </c>
      <c r="F684" s="9" t="s">
        <v>15</v>
      </c>
      <c r="G684" s="9" t="str">
        <f t="shared" si="21"/>
        <v>Household</v>
      </c>
      <c r="H684" s="25">
        <v>14.37</v>
      </c>
      <c r="I684" s="6">
        <v>13</v>
      </c>
      <c r="J684" s="25">
        <v>13.08</v>
      </c>
      <c r="K684" s="25">
        <v>199.89</v>
      </c>
      <c r="L684" s="9">
        <v>19</v>
      </c>
      <c r="M684" s="39" t="str">
        <f t="shared" si="20"/>
        <v>Normal Transaction</v>
      </c>
    </row>
    <row r="685" spans="1:13" x14ac:dyDescent="0.35">
      <c r="A685" s="27">
        <v>684</v>
      </c>
      <c r="B685" s="2" t="s">
        <v>31</v>
      </c>
      <c r="C685" s="2" t="s">
        <v>1</v>
      </c>
      <c r="D685" s="2" t="s">
        <v>2</v>
      </c>
      <c r="E685" s="2" t="s">
        <v>9</v>
      </c>
      <c r="F685" s="9" t="s">
        <v>4</v>
      </c>
      <c r="G685" s="9" t="str">
        <f t="shared" si="21"/>
        <v>Personal Care</v>
      </c>
      <c r="H685" s="25">
        <v>13.05</v>
      </c>
      <c r="I685" s="6">
        <v>14</v>
      </c>
      <c r="J685" s="25">
        <v>12.79</v>
      </c>
      <c r="K685" s="25">
        <v>195.49</v>
      </c>
      <c r="L685" s="9">
        <v>19</v>
      </c>
      <c r="M685" s="39" t="str">
        <f t="shared" si="20"/>
        <v>Normal Transaction</v>
      </c>
    </row>
    <row r="686" spans="1:13" x14ac:dyDescent="0.35">
      <c r="A686" s="27">
        <v>685</v>
      </c>
      <c r="B686" s="2" t="s">
        <v>31</v>
      </c>
      <c r="C686" s="2" t="s">
        <v>1</v>
      </c>
      <c r="D686" s="2" t="s">
        <v>8</v>
      </c>
      <c r="E686" s="2" t="s">
        <v>9</v>
      </c>
      <c r="F686" s="9" t="s">
        <v>12</v>
      </c>
      <c r="G686" s="9" t="str">
        <f t="shared" si="21"/>
        <v>Fruits</v>
      </c>
      <c r="H686" s="25">
        <v>3.48</v>
      </c>
      <c r="I686" s="6">
        <v>3</v>
      </c>
      <c r="J686" s="25">
        <v>0.73</v>
      </c>
      <c r="K686" s="25">
        <v>11.17</v>
      </c>
      <c r="L686" s="9">
        <v>0</v>
      </c>
      <c r="M686" s="39" t="str">
        <f t="shared" si="20"/>
        <v>Normal Transaction</v>
      </c>
    </row>
    <row r="687" spans="1:13" x14ac:dyDescent="0.35">
      <c r="A687" s="27">
        <v>686</v>
      </c>
      <c r="B687" s="2" t="s">
        <v>0</v>
      </c>
      <c r="C687" s="2" t="s">
        <v>14</v>
      </c>
      <c r="D687" s="2" t="s">
        <v>8</v>
      </c>
      <c r="E687" s="2" t="s">
        <v>9</v>
      </c>
      <c r="F687" s="9" t="s">
        <v>10</v>
      </c>
      <c r="G687" s="9" t="str">
        <f t="shared" si="21"/>
        <v>Stationery</v>
      </c>
      <c r="H687" s="25">
        <v>4.33</v>
      </c>
      <c r="I687" s="6">
        <v>2</v>
      </c>
      <c r="J687" s="25">
        <v>0.61</v>
      </c>
      <c r="K687" s="25">
        <v>9.27</v>
      </c>
      <c r="L687" s="9">
        <v>0</v>
      </c>
      <c r="M687" s="39" t="str">
        <f t="shared" si="20"/>
        <v>Normal Transaction</v>
      </c>
    </row>
    <row r="688" spans="1:13" x14ac:dyDescent="0.35">
      <c r="A688" s="27">
        <v>687</v>
      </c>
      <c r="B688" s="2" t="s">
        <v>0</v>
      </c>
      <c r="C688" s="2" t="s">
        <v>14</v>
      </c>
      <c r="D688" s="2" t="s">
        <v>2</v>
      </c>
      <c r="E688" s="2" t="s">
        <v>3</v>
      </c>
      <c r="F688" s="9" t="s">
        <v>17</v>
      </c>
      <c r="G688" s="9" t="str">
        <f t="shared" si="21"/>
        <v>Beverages</v>
      </c>
      <c r="H688" s="25">
        <v>4.09</v>
      </c>
      <c r="I688" s="6">
        <v>6</v>
      </c>
      <c r="J688" s="25">
        <v>1.72</v>
      </c>
      <c r="K688" s="25">
        <v>26.26</v>
      </c>
      <c r="L688" s="9">
        <v>2</v>
      </c>
      <c r="M688" s="39" t="str">
        <f t="shared" si="20"/>
        <v>Normal Transaction</v>
      </c>
    </row>
    <row r="689" spans="1:13" x14ac:dyDescent="0.35">
      <c r="A689" s="27">
        <v>688</v>
      </c>
      <c r="B689" s="2" t="s">
        <v>31</v>
      </c>
      <c r="C689" s="2" t="s">
        <v>1</v>
      </c>
      <c r="D689" s="2" t="s">
        <v>2</v>
      </c>
      <c r="E689" s="2" t="s">
        <v>9</v>
      </c>
      <c r="F689" s="9" t="s">
        <v>15</v>
      </c>
      <c r="G689" s="9" t="str">
        <f t="shared" si="21"/>
        <v>Household</v>
      </c>
      <c r="H689" s="25">
        <v>4.58</v>
      </c>
      <c r="I689" s="6">
        <v>5</v>
      </c>
      <c r="J689" s="25">
        <v>1.6</v>
      </c>
      <c r="K689" s="25">
        <v>24.5</v>
      </c>
      <c r="L689" s="9">
        <v>2</v>
      </c>
      <c r="M689" s="39" t="str">
        <f t="shared" si="20"/>
        <v>Normal Transaction</v>
      </c>
    </row>
    <row r="690" spans="1:13" x14ac:dyDescent="0.35">
      <c r="A690" s="27">
        <v>689</v>
      </c>
      <c r="B690" s="2" t="s">
        <v>31</v>
      </c>
      <c r="C690" s="2" t="s">
        <v>1</v>
      </c>
      <c r="D690" s="2" t="s">
        <v>8</v>
      </c>
      <c r="E690" s="2" t="s">
        <v>9</v>
      </c>
      <c r="F690" s="9" t="s">
        <v>17</v>
      </c>
      <c r="G690" s="9" t="str">
        <f t="shared" si="21"/>
        <v>Beverages</v>
      </c>
      <c r="H690" s="25">
        <v>2.37</v>
      </c>
      <c r="I690" s="6">
        <v>3</v>
      </c>
      <c r="J690" s="25">
        <v>0.5</v>
      </c>
      <c r="K690" s="25">
        <v>7.61</v>
      </c>
      <c r="L690" s="9">
        <v>0</v>
      </c>
      <c r="M690" s="39" t="str">
        <f t="shared" si="20"/>
        <v>Normal Transaction</v>
      </c>
    </row>
    <row r="691" spans="1:13" x14ac:dyDescent="0.35">
      <c r="A691" s="27">
        <v>690</v>
      </c>
      <c r="B691" s="2" t="s">
        <v>31</v>
      </c>
      <c r="C691" s="2" t="s">
        <v>1</v>
      </c>
      <c r="D691" s="2" t="s">
        <v>2</v>
      </c>
      <c r="E691" s="2" t="s">
        <v>9</v>
      </c>
      <c r="F691" s="9" t="s">
        <v>10</v>
      </c>
      <c r="G691" s="9" t="str">
        <f t="shared" si="21"/>
        <v>Stationery</v>
      </c>
      <c r="H691" s="25">
        <v>4.1399999999999997</v>
      </c>
      <c r="I691" s="6">
        <v>15</v>
      </c>
      <c r="J691" s="25">
        <v>4.3499999999999996</v>
      </c>
      <c r="K691" s="25">
        <v>66.45</v>
      </c>
      <c r="L691" s="9">
        <v>6</v>
      </c>
      <c r="M691" s="39" t="str">
        <f t="shared" si="20"/>
        <v>Normal Transaction</v>
      </c>
    </row>
    <row r="692" spans="1:13" x14ac:dyDescent="0.35">
      <c r="A692" s="27">
        <v>691</v>
      </c>
      <c r="B692" s="2" t="s">
        <v>31</v>
      </c>
      <c r="C692" s="2" t="s">
        <v>1</v>
      </c>
      <c r="D692" s="2" t="s">
        <v>8</v>
      </c>
      <c r="E692" s="2" t="s">
        <v>3</v>
      </c>
      <c r="F692" s="9" t="s">
        <v>4</v>
      </c>
      <c r="G692" s="9" t="str">
        <f t="shared" si="21"/>
        <v>Personal Care</v>
      </c>
      <c r="H692" s="25">
        <v>7.73</v>
      </c>
      <c r="I692" s="6">
        <v>15</v>
      </c>
      <c r="J692" s="25">
        <v>8.1199999999999992</v>
      </c>
      <c r="K692" s="25">
        <v>124.07</v>
      </c>
      <c r="L692" s="9">
        <v>0</v>
      </c>
      <c r="M692" s="39" t="str">
        <f t="shared" si="20"/>
        <v>Normal Transaction</v>
      </c>
    </row>
    <row r="693" spans="1:13" x14ac:dyDescent="0.35">
      <c r="A693" s="27">
        <v>692</v>
      </c>
      <c r="B693" s="2" t="s">
        <v>6</v>
      </c>
      <c r="C693" s="2" t="s">
        <v>7</v>
      </c>
      <c r="D693" s="2" t="s">
        <v>2</v>
      </c>
      <c r="E693" s="2" t="s">
        <v>3</v>
      </c>
      <c r="F693" s="9" t="s">
        <v>12</v>
      </c>
      <c r="G693" s="9" t="str">
        <f t="shared" si="21"/>
        <v>Fruits</v>
      </c>
      <c r="H693" s="25">
        <v>4.93</v>
      </c>
      <c r="I693" s="6">
        <v>5</v>
      </c>
      <c r="J693" s="25">
        <v>1.73</v>
      </c>
      <c r="K693" s="25">
        <v>26.38</v>
      </c>
      <c r="L693" s="9">
        <v>2</v>
      </c>
      <c r="M693" s="39" t="str">
        <f t="shared" si="20"/>
        <v>Normal Transaction</v>
      </c>
    </row>
    <row r="694" spans="1:13" x14ac:dyDescent="0.35">
      <c r="A694" s="27">
        <v>693</v>
      </c>
      <c r="B694" s="2" t="s">
        <v>6</v>
      </c>
      <c r="C694" s="2" t="s">
        <v>7</v>
      </c>
      <c r="D694" s="2" t="s">
        <v>8</v>
      </c>
      <c r="E694" s="2" t="s">
        <v>3</v>
      </c>
      <c r="F694" s="9" t="s">
        <v>12</v>
      </c>
      <c r="G694" s="9" t="str">
        <f t="shared" si="21"/>
        <v>Fruits</v>
      </c>
      <c r="H694" s="25">
        <v>5.47</v>
      </c>
      <c r="I694" s="6">
        <v>6</v>
      </c>
      <c r="J694" s="25">
        <v>2.2999999999999998</v>
      </c>
      <c r="K694" s="25">
        <v>35.119999999999997</v>
      </c>
      <c r="L694" s="9">
        <v>0</v>
      </c>
      <c r="M694" s="39" t="str">
        <f t="shared" si="20"/>
        <v>Normal Transaction</v>
      </c>
    </row>
    <row r="695" spans="1:13" x14ac:dyDescent="0.35">
      <c r="A695" s="27">
        <v>694</v>
      </c>
      <c r="B695" s="2" t="s">
        <v>31</v>
      </c>
      <c r="C695" s="2" t="s">
        <v>1</v>
      </c>
      <c r="D695" s="2" t="s">
        <v>2</v>
      </c>
      <c r="E695" s="2" t="s">
        <v>9</v>
      </c>
      <c r="F695" s="9" t="s">
        <v>15</v>
      </c>
      <c r="G695" s="9" t="str">
        <f t="shared" si="21"/>
        <v>Household</v>
      </c>
      <c r="H695" s="25">
        <v>6.05</v>
      </c>
      <c r="I695" s="6">
        <v>6</v>
      </c>
      <c r="J695" s="25">
        <v>2.54</v>
      </c>
      <c r="K695" s="25">
        <v>38.840000000000003</v>
      </c>
      <c r="L695" s="9">
        <v>3</v>
      </c>
      <c r="M695" s="39" t="str">
        <f t="shared" si="20"/>
        <v>Normal Transaction</v>
      </c>
    </row>
    <row r="696" spans="1:13" x14ac:dyDescent="0.35">
      <c r="A696" s="27">
        <v>695</v>
      </c>
      <c r="B696" s="2" t="s">
        <v>31</v>
      </c>
      <c r="C696" s="2" t="s">
        <v>1</v>
      </c>
      <c r="D696" s="2" t="s">
        <v>8</v>
      </c>
      <c r="E696" s="2" t="s">
        <v>9</v>
      </c>
      <c r="F696" s="9" t="s">
        <v>10</v>
      </c>
      <c r="G696" s="9" t="str">
        <f t="shared" si="21"/>
        <v>Stationery</v>
      </c>
      <c r="H696" s="25">
        <v>6.56</v>
      </c>
      <c r="I696" s="6">
        <v>11</v>
      </c>
      <c r="J696" s="25">
        <v>5.05</v>
      </c>
      <c r="K696" s="25">
        <v>77.209999999999994</v>
      </c>
      <c r="L696" s="9">
        <v>0</v>
      </c>
      <c r="M696" s="39" t="str">
        <f t="shared" si="20"/>
        <v>Normal Transaction</v>
      </c>
    </row>
    <row r="697" spans="1:13" x14ac:dyDescent="0.35">
      <c r="A697" s="27">
        <v>696</v>
      </c>
      <c r="B697" s="2" t="s">
        <v>0</v>
      </c>
      <c r="C697" s="2" t="s">
        <v>14</v>
      </c>
      <c r="D697" s="2" t="s">
        <v>2</v>
      </c>
      <c r="E697" s="2" t="s">
        <v>9</v>
      </c>
      <c r="F697" s="9" t="s">
        <v>15</v>
      </c>
      <c r="G697" s="9" t="str">
        <f t="shared" si="21"/>
        <v>Household</v>
      </c>
      <c r="H697" s="25">
        <v>7.46</v>
      </c>
      <c r="I697" s="6">
        <v>19</v>
      </c>
      <c r="J697" s="25">
        <v>9.92</v>
      </c>
      <c r="K697" s="25">
        <v>151.66</v>
      </c>
      <c r="L697" s="9">
        <v>15</v>
      </c>
      <c r="M697" s="39" t="str">
        <f t="shared" si="20"/>
        <v>Normal Transaction</v>
      </c>
    </row>
    <row r="698" spans="1:13" x14ac:dyDescent="0.35">
      <c r="A698" s="27">
        <v>697</v>
      </c>
      <c r="B698" s="2" t="s">
        <v>6</v>
      </c>
      <c r="C698" s="2" t="s">
        <v>7</v>
      </c>
      <c r="D698" s="2" t="s">
        <v>8</v>
      </c>
      <c r="E698" s="2" t="s">
        <v>9</v>
      </c>
      <c r="F698" s="9" t="s">
        <v>15</v>
      </c>
      <c r="G698" s="9" t="str">
        <f t="shared" si="21"/>
        <v>Household</v>
      </c>
      <c r="H698" s="25">
        <v>19.03</v>
      </c>
      <c r="I698" s="6">
        <v>14</v>
      </c>
      <c r="J698" s="25">
        <v>18.649999999999999</v>
      </c>
      <c r="K698" s="25">
        <v>285.07</v>
      </c>
      <c r="L698" s="9">
        <v>0</v>
      </c>
      <c r="M698" s="39" t="str">
        <f t="shared" si="20"/>
        <v>Normal Transaction</v>
      </c>
    </row>
    <row r="699" spans="1:13" x14ac:dyDescent="0.35">
      <c r="A699" s="27">
        <v>698</v>
      </c>
      <c r="B699" s="2" t="s">
        <v>0</v>
      </c>
      <c r="C699" s="2" t="s">
        <v>14</v>
      </c>
      <c r="D699" s="2" t="s">
        <v>8</v>
      </c>
      <c r="E699" s="2" t="s">
        <v>9</v>
      </c>
      <c r="F699" s="9" t="s">
        <v>12</v>
      </c>
      <c r="G699" s="9" t="str">
        <f t="shared" si="21"/>
        <v>Fruits</v>
      </c>
      <c r="H699" s="25">
        <v>18.52</v>
      </c>
      <c r="I699" s="6">
        <v>2</v>
      </c>
      <c r="J699" s="25">
        <v>2.59</v>
      </c>
      <c r="K699" s="25">
        <v>39.630000000000003</v>
      </c>
      <c r="L699" s="9">
        <v>0</v>
      </c>
      <c r="M699" s="39" t="str">
        <f t="shared" si="20"/>
        <v>Normal Transaction</v>
      </c>
    </row>
    <row r="700" spans="1:13" x14ac:dyDescent="0.35">
      <c r="A700" s="27">
        <v>699</v>
      </c>
      <c r="B700" s="2" t="s">
        <v>6</v>
      </c>
      <c r="C700" s="2" t="s">
        <v>7</v>
      </c>
      <c r="D700" s="2" t="s">
        <v>8</v>
      </c>
      <c r="E700" s="2" t="s">
        <v>9</v>
      </c>
      <c r="F700" s="9" t="s">
        <v>17</v>
      </c>
      <c r="G700" s="9" t="str">
        <f t="shared" si="21"/>
        <v>Beverages</v>
      </c>
      <c r="H700" s="25">
        <v>13.05</v>
      </c>
      <c r="I700" s="6">
        <v>1</v>
      </c>
      <c r="J700" s="25">
        <v>0.91</v>
      </c>
      <c r="K700" s="25">
        <v>13.96</v>
      </c>
      <c r="L700" s="9">
        <v>0</v>
      </c>
      <c r="M700" s="39" t="str">
        <f t="shared" si="20"/>
        <v>Normal Transaction</v>
      </c>
    </row>
    <row r="701" spans="1:13" x14ac:dyDescent="0.35">
      <c r="A701" s="27">
        <v>700</v>
      </c>
      <c r="B701" s="2" t="s">
        <v>0</v>
      </c>
      <c r="C701" s="2" t="s">
        <v>14</v>
      </c>
      <c r="D701" s="2" t="s">
        <v>8</v>
      </c>
      <c r="E701" s="2" t="s">
        <v>3</v>
      </c>
      <c r="F701" s="9" t="s">
        <v>4</v>
      </c>
      <c r="G701" s="9" t="str">
        <f t="shared" si="21"/>
        <v>Personal Care</v>
      </c>
      <c r="H701" s="25">
        <v>12.81</v>
      </c>
      <c r="I701" s="6">
        <v>20</v>
      </c>
      <c r="J701" s="25">
        <v>17.93</v>
      </c>
      <c r="K701" s="25">
        <v>274.13</v>
      </c>
      <c r="L701" s="9">
        <v>0</v>
      </c>
      <c r="M701" s="39" t="str">
        <f t="shared" si="20"/>
        <v>Normal Transaction</v>
      </c>
    </row>
    <row r="702" spans="1:13" x14ac:dyDescent="0.35">
      <c r="A702" s="27">
        <v>701</v>
      </c>
      <c r="B702" s="2" t="s">
        <v>0</v>
      </c>
      <c r="C702" s="2" t="s">
        <v>14</v>
      </c>
      <c r="D702" s="2" t="s">
        <v>8</v>
      </c>
      <c r="E702" s="2" t="s">
        <v>9</v>
      </c>
      <c r="F702" s="9" t="s">
        <v>12</v>
      </c>
      <c r="G702" s="9" t="str">
        <f t="shared" si="21"/>
        <v>Fruits</v>
      </c>
      <c r="H702" s="25">
        <v>14.78</v>
      </c>
      <c r="I702" s="6">
        <v>16</v>
      </c>
      <c r="J702" s="25">
        <v>16.55</v>
      </c>
      <c r="K702" s="25">
        <v>253.03</v>
      </c>
      <c r="L702" s="9">
        <v>0</v>
      </c>
      <c r="M702" s="39" t="str">
        <f t="shared" si="20"/>
        <v>Normal Transaction</v>
      </c>
    </row>
    <row r="703" spans="1:13" x14ac:dyDescent="0.35">
      <c r="A703" s="27">
        <v>702</v>
      </c>
      <c r="B703" s="2" t="s">
        <v>31</v>
      </c>
      <c r="C703" s="2" t="s">
        <v>1</v>
      </c>
      <c r="D703" s="2" t="s">
        <v>2</v>
      </c>
      <c r="E703" s="2" t="s">
        <v>3</v>
      </c>
      <c r="F703" s="9" t="s">
        <v>15</v>
      </c>
      <c r="G703" s="9" t="str">
        <f t="shared" si="21"/>
        <v>Household</v>
      </c>
      <c r="H703" s="25">
        <v>18.54</v>
      </c>
      <c r="I703" s="6">
        <v>13</v>
      </c>
      <c r="J703" s="25">
        <v>16.87</v>
      </c>
      <c r="K703" s="25">
        <v>257.89</v>
      </c>
      <c r="L703" s="9">
        <v>25</v>
      </c>
      <c r="M703" s="39" t="str">
        <f t="shared" si="20"/>
        <v>Normal Transaction</v>
      </c>
    </row>
    <row r="704" spans="1:13" x14ac:dyDescent="0.35">
      <c r="A704" s="27">
        <v>703</v>
      </c>
      <c r="B704" s="2" t="s">
        <v>31</v>
      </c>
      <c r="C704" s="2" t="s">
        <v>1</v>
      </c>
      <c r="D704" s="2" t="s">
        <v>8</v>
      </c>
      <c r="E704" s="2" t="s">
        <v>9</v>
      </c>
      <c r="F704" s="9" t="s">
        <v>10</v>
      </c>
      <c r="G704" s="9" t="str">
        <f t="shared" si="21"/>
        <v>Stationery</v>
      </c>
      <c r="H704" s="25">
        <v>15.61</v>
      </c>
      <c r="I704" s="6">
        <v>19</v>
      </c>
      <c r="J704" s="25">
        <v>20.76</v>
      </c>
      <c r="K704" s="25">
        <v>317.35000000000002</v>
      </c>
      <c r="L704" s="9">
        <v>0</v>
      </c>
      <c r="M704" s="39" t="str">
        <f t="shared" si="20"/>
        <v>Normal Transaction</v>
      </c>
    </row>
    <row r="705" spans="1:13" x14ac:dyDescent="0.35">
      <c r="A705" s="27">
        <v>704</v>
      </c>
      <c r="B705" s="2" t="s">
        <v>31</v>
      </c>
      <c r="C705" s="2" t="s">
        <v>1</v>
      </c>
      <c r="D705" s="2" t="s">
        <v>2</v>
      </c>
      <c r="E705" s="2" t="s">
        <v>3</v>
      </c>
      <c r="F705" s="9" t="s">
        <v>4</v>
      </c>
      <c r="G705" s="9" t="str">
        <f t="shared" si="21"/>
        <v>Personal Care</v>
      </c>
      <c r="H705" s="25">
        <v>17.93</v>
      </c>
      <c r="I705" s="6">
        <v>11</v>
      </c>
      <c r="J705" s="25">
        <v>13.81</v>
      </c>
      <c r="K705" s="25">
        <v>211.04</v>
      </c>
      <c r="L705" s="9">
        <v>21</v>
      </c>
      <c r="M705" s="39" t="str">
        <f t="shared" si="20"/>
        <v>Normal Transaction</v>
      </c>
    </row>
    <row r="706" spans="1:13" x14ac:dyDescent="0.35">
      <c r="A706" s="27">
        <v>705</v>
      </c>
      <c r="B706" s="2" t="s">
        <v>6</v>
      </c>
      <c r="C706" s="2" t="s">
        <v>7</v>
      </c>
      <c r="D706" s="2" t="s">
        <v>8</v>
      </c>
      <c r="E706" s="2" t="s">
        <v>9</v>
      </c>
      <c r="F706" s="9" t="s">
        <v>15</v>
      </c>
      <c r="G706" s="9" t="str">
        <f t="shared" si="21"/>
        <v>Household</v>
      </c>
      <c r="H706" s="25">
        <v>7.6</v>
      </c>
      <c r="I706" s="6">
        <v>17</v>
      </c>
      <c r="J706" s="25">
        <v>9.0399999999999991</v>
      </c>
      <c r="K706" s="25">
        <v>138.24</v>
      </c>
      <c r="L706" s="9">
        <v>0</v>
      </c>
      <c r="M706" s="39" t="str">
        <f t="shared" ref="M706:M769" si="22">IF(K706 &gt; 382.93, "Outlier (Extreme Spend)", "Normal Transaction")</f>
        <v>Normal Transaction</v>
      </c>
    </row>
    <row r="707" spans="1:13" x14ac:dyDescent="0.35">
      <c r="A707" s="27">
        <v>706</v>
      </c>
      <c r="B707" s="2" t="s">
        <v>0</v>
      </c>
      <c r="C707" s="2" t="s">
        <v>14</v>
      </c>
      <c r="D707" s="2" t="s">
        <v>2</v>
      </c>
      <c r="E707" s="2" t="s">
        <v>3</v>
      </c>
      <c r="F707" s="9" t="s">
        <v>12</v>
      </c>
      <c r="G707" s="9" t="str">
        <f t="shared" ref="G707:G770" si="23">_xlfn.XLOOKUP(F707,$Q$2:$Q$6,$R$2:$R$6,"Unknown")</f>
        <v>Fruits</v>
      </c>
      <c r="H707" s="25">
        <v>19.82</v>
      </c>
      <c r="I707" s="6">
        <v>10</v>
      </c>
      <c r="J707" s="25">
        <v>13.87</v>
      </c>
      <c r="K707" s="25">
        <v>212.07</v>
      </c>
      <c r="L707" s="9">
        <v>21</v>
      </c>
      <c r="M707" s="39" t="str">
        <f t="shared" si="22"/>
        <v>Normal Transaction</v>
      </c>
    </row>
    <row r="708" spans="1:13" x14ac:dyDescent="0.35">
      <c r="A708" s="27">
        <v>707</v>
      </c>
      <c r="B708" s="2" t="s">
        <v>0</v>
      </c>
      <c r="C708" s="2" t="s">
        <v>14</v>
      </c>
      <c r="D708" s="2" t="s">
        <v>2</v>
      </c>
      <c r="E708" s="2" t="s">
        <v>9</v>
      </c>
      <c r="F708" s="9" t="s">
        <v>17</v>
      </c>
      <c r="G708" s="9" t="str">
        <f t="shared" si="23"/>
        <v>Beverages</v>
      </c>
      <c r="H708" s="25">
        <v>10.89</v>
      </c>
      <c r="I708" s="6">
        <v>18</v>
      </c>
      <c r="J708" s="25">
        <v>13.72</v>
      </c>
      <c r="K708" s="25">
        <v>209.74</v>
      </c>
      <c r="L708" s="9">
        <v>20</v>
      </c>
      <c r="M708" s="39" t="str">
        <f t="shared" si="22"/>
        <v>Normal Transaction</v>
      </c>
    </row>
    <row r="709" spans="1:13" x14ac:dyDescent="0.35">
      <c r="A709" s="27">
        <v>708</v>
      </c>
      <c r="B709" s="2" t="s">
        <v>0</v>
      </c>
      <c r="C709" s="2" t="s">
        <v>14</v>
      </c>
      <c r="D709" s="2" t="s">
        <v>8</v>
      </c>
      <c r="E709" s="2" t="s">
        <v>9</v>
      </c>
      <c r="F709" s="9" t="s">
        <v>17</v>
      </c>
      <c r="G709" s="9" t="str">
        <f t="shared" si="23"/>
        <v>Beverages</v>
      </c>
      <c r="H709" s="25">
        <v>8.75</v>
      </c>
      <c r="I709" s="6">
        <v>5</v>
      </c>
      <c r="J709" s="25">
        <v>3.06</v>
      </c>
      <c r="K709" s="25">
        <v>46.81</v>
      </c>
      <c r="L709" s="9">
        <v>0</v>
      </c>
      <c r="M709" s="39" t="str">
        <f t="shared" si="22"/>
        <v>Normal Transaction</v>
      </c>
    </row>
    <row r="710" spans="1:13" x14ac:dyDescent="0.35">
      <c r="A710" s="27">
        <v>709</v>
      </c>
      <c r="B710" s="2" t="s">
        <v>6</v>
      </c>
      <c r="C710" s="2" t="s">
        <v>7</v>
      </c>
      <c r="D710" s="2" t="s">
        <v>2</v>
      </c>
      <c r="E710" s="2" t="s">
        <v>3</v>
      </c>
      <c r="F710" s="9" t="s">
        <v>10</v>
      </c>
      <c r="G710" s="9" t="str">
        <f t="shared" si="23"/>
        <v>Stationery</v>
      </c>
      <c r="H710" s="25">
        <v>1.42</v>
      </c>
      <c r="I710" s="6">
        <v>2</v>
      </c>
      <c r="J710" s="25">
        <v>0.2</v>
      </c>
      <c r="K710" s="25">
        <v>3.04</v>
      </c>
      <c r="L710" s="9">
        <v>0</v>
      </c>
      <c r="M710" s="39" t="str">
        <f t="shared" si="22"/>
        <v>Normal Transaction</v>
      </c>
    </row>
    <row r="711" spans="1:13" x14ac:dyDescent="0.35">
      <c r="A711" s="27">
        <v>710</v>
      </c>
      <c r="B711" s="2" t="s">
        <v>0</v>
      </c>
      <c r="C711" s="2" t="s">
        <v>14</v>
      </c>
      <c r="D711" s="2" t="s">
        <v>8</v>
      </c>
      <c r="E711" s="2" t="s">
        <v>3</v>
      </c>
      <c r="F711" s="9" t="s">
        <v>17</v>
      </c>
      <c r="G711" s="9" t="str">
        <f t="shared" si="23"/>
        <v>Beverages</v>
      </c>
      <c r="H711" s="25">
        <v>14.45</v>
      </c>
      <c r="I711" s="6">
        <v>18</v>
      </c>
      <c r="J711" s="25">
        <v>18.21</v>
      </c>
      <c r="K711" s="25">
        <v>278.31</v>
      </c>
      <c r="L711" s="9">
        <v>0</v>
      </c>
      <c r="M711" s="39" t="str">
        <f t="shared" si="22"/>
        <v>Normal Transaction</v>
      </c>
    </row>
    <row r="712" spans="1:13" x14ac:dyDescent="0.35">
      <c r="A712" s="27">
        <v>711</v>
      </c>
      <c r="B712" s="2" t="s">
        <v>6</v>
      </c>
      <c r="C712" s="2" t="s">
        <v>7</v>
      </c>
      <c r="D712" s="2" t="s">
        <v>2</v>
      </c>
      <c r="E712" s="2" t="s">
        <v>9</v>
      </c>
      <c r="F712" s="9" t="s">
        <v>17</v>
      </c>
      <c r="G712" s="9" t="str">
        <f t="shared" si="23"/>
        <v>Beverages</v>
      </c>
      <c r="H712" s="25">
        <v>3.52</v>
      </c>
      <c r="I712" s="6">
        <v>7</v>
      </c>
      <c r="J712" s="25">
        <v>1.72</v>
      </c>
      <c r="K712" s="25">
        <v>26.36</v>
      </c>
      <c r="L712" s="9">
        <v>2</v>
      </c>
      <c r="M712" s="39" t="str">
        <f t="shared" si="22"/>
        <v>Normal Transaction</v>
      </c>
    </row>
    <row r="713" spans="1:13" x14ac:dyDescent="0.35">
      <c r="A713" s="27">
        <v>712</v>
      </c>
      <c r="B713" s="2" t="s">
        <v>0</v>
      </c>
      <c r="C713" s="2" t="s">
        <v>14</v>
      </c>
      <c r="D713" s="2" t="s">
        <v>2</v>
      </c>
      <c r="E713" s="2" t="s">
        <v>3</v>
      </c>
      <c r="F713" s="9" t="s">
        <v>4</v>
      </c>
      <c r="G713" s="9" t="str">
        <f t="shared" si="23"/>
        <v>Personal Care</v>
      </c>
      <c r="H713" s="25">
        <v>17.93</v>
      </c>
      <c r="I713" s="6">
        <v>11</v>
      </c>
      <c r="J713" s="25">
        <v>13.81</v>
      </c>
      <c r="K713" s="25">
        <v>211.04</v>
      </c>
      <c r="L713" s="9">
        <v>21</v>
      </c>
      <c r="M713" s="39" t="str">
        <f t="shared" si="22"/>
        <v>Normal Transaction</v>
      </c>
    </row>
    <row r="714" spans="1:13" x14ac:dyDescent="0.35">
      <c r="A714" s="27">
        <v>713</v>
      </c>
      <c r="B714" s="2" t="s">
        <v>6</v>
      </c>
      <c r="C714" s="2" t="s">
        <v>7</v>
      </c>
      <c r="D714" s="2" t="s">
        <v>2</v>
      </c>
      <c r="E714" s="2" t="s">
        <v>9</v>
      </c>
      <c r="F714" s="9" t="s">
        <v>4</v>
      </c>
      <c r="G714" s="9" t="str">
        <f t="shared" si="23"/>
        <v>Personal Care</v>
      </c>
      <c r="H714" s="25">
        <v>6.21</v>
      </c>
      <c r="I714" s="6">
        <v>3</v>
      </c>
      <c r="J714" s="25">
        <v>1.3</v>
      </c>
      <c r="K714" s="25">
        <v>19.93</v>
      </c>
      <c r="L714" s="9">
        <v>1</v>
      </c>
      <c r="M714" s="39" t="str">
        <f t="shared" si="22"/>
        <v>Normal Transaction</v>
      </c>
    </row>
    <row r="715" spans="1:13" x14ac:dyDescent="0.35">
      <c r="A715" s="27">
        <v>714</v>
      </c>
      <c r="B715" s="2" t="s">
        <v>31</v>
      </c>
      <c r="C715" s="2" t="s">
        <v>1</v>
      </c>
      <c r="D715" s="2" t="s">
        <v>2</v>
      </c>
      <c r="E715" s="2" t="s">
        <v>3</v>
      </c>
      <c r="F715" s="9" t="s">
        <v>17</v>
      </c>
      <c r="G715" s="9" t="str">
        <f t="shared" si="23"/>
        <v>Beverages</v>
      </c>
      <c r="H715" s="25">
        <v>13.68</v>
      </c>
      <c r="I715" s="6">
        <v>3</v>
      </c>
      <c r="J715" s="25">
        <v>2.87</v>
      </c>
      <c r="K715" s="25">
        <v>43.91</v>
      </c>
      <c r="L715" s="9">
        <v>4</v>
      </c>
      <c r="M715" s="39" t="str">
        <f t="shared" si="22"/>
        <v>Normal Transaction</v>
      </c>
    </row>
    <row r="716" spans="1:13" x14ac:dyDescent="0.35">
      <c r="A716" s="27">
        <v>715</v>
      </c>
      <c r="B716" s="2" t="s">
        <v>0</v>
      </c>
      <c r="C716" s="2" t="s">
        <v>14</v>
      </c>
      <c r="D716" s="2" t="s">
        <v>8</v>
      </c>
      <c r="E716" s="2" t="s">
        <v>3</v>
      </c>
      <c r="F716" s="9" t="s">
        <v>17</v>
      </c>
      <c r="G716" s="9" t="str">
        <f t="shared" si="23"/>
        <v>Beverages</v>
      </c>
      <c r="H716" s="25">
        <v>11.7</v>
      </c>
      <c r="I716" s="6">
        <v>6</v>
      </c>
      <c r="J716" s="25">
        <v>4.91</v>
      </c>
      <c r="K716" s="25">
        <v>75.11</v>
      </c>
      <c r="L716" s="9">
        <v>0</v>
      </c>
      <c r="M716" s="39" t="str">
        <f t="shared" si="22"/>
        <v>Normal Transaction</v>
      </c>
    </row>
    <row r="717" spans="1:13" x14ac:dyDescent="0.35">
      <c r="A717" s="27">
        <v>716</v>
      </c>
      <c r="B717" s="2" t="s">
        <v>31</v>
      </c>
      <c r="C717" s="2" t="s">
        <v>1</v>
      </c>
      <c r="D717" s="2" t="s">
        <v>2</v>
      </c>
      <c r="E717" s="2" t="s">
        <v>9</v>
      </c>
      <c r="F717" s="9" t="s">
        <v>4</v>
      </c>
      <c r="G717" s="9" t="str">
        <f t="shared" si="23"/>
        <v>Personal Care</v>
      </c>
      <c r="H717" s="25">
        <v>18.27</v>
      </c>
      <c r="I717" s="6">
        <v>16</v>
      </c>
      <c r="J717" s="25">
        <v>20.46</v>
      </c>
      <c r="K717" s="25">
        <v>312.77999999999997</v>
      </c>
      <c r="L717" s="9">
        <v>31</v>
      </c>
      <c r="M717" s="39" t="str">
        <f t="shared" si="22"/>
        <v>Normal Transaction</v>
      </c>
    </row>
    <row r="718" spans="1:13" x14ac:dyDescent="0.35">
      <c r="A718" s="27">
        <v>717</v>
      </c>
      <c r="B718" s="2" t="s">
        <v>0</v>
      </c>
      <c r="C718" s="2" t="s">
        <v>14</v>
      </c>
      <c r="D718" s="2" t="s">
        <v>2</v>
      </c>
      <c r="E718" s="2" t="s">
        <v>3</v>
      </c>
      <c r="F718" s="9" t="s">
        <v>12</v>
      </c>
      <c r="G718" s="9" t="str">
        <f t="shared" si="23"/>
        <v>Fruits</v>
      </c>
      <c r="H718" s="25">
        <v>2.4700000000000002</v>
      </c>
      <c r="I718" s="6">
        <v>16</v>
      </c>
      <c r="J718" s="25">
        <v>2.77</v>
      </c>
      <c r="K718" s="25">
        <v>42.29</v>
      </c>
      <c r="L718" s="9">
        <v>4</v>
      </c>
      <c r="M718" s="39" t="str">
        <f t="shared" si="22"/>
        <v>Normal Transaction</v>
      </c>
    </row>
    <row r="719" spans="1:13" x14ac:dyDescent="0.35">
      <c r="A719" s="27">
        <v>718</v>
      </c>
      <c r="B719" s="2" t="s">
        <v>31</v>
      </c>
      <c r="C719" s="2" t="s">
        <v>1</v>
      </c>
      <c r="D719" s="2" t="s">
        <v>8</v>
      </c>
      <c r="E719" s="2" t="s">
        <v>3</v>
      </c>
      <c r="F719" s="9" t="s">
        <v>4</v>
      </c>
      <c r="G719" s="9" t="str">
        <f t="shared" si="23"/>
        <v>Personal Care</v>
      </c>
      <c r="H719" s="25">
        <v>2.81</v>
      </c>
      <c r="I719" s="6">
        <v>20</v>
      </c>
      <c r="J719" s="25">
        <v>3.93</v>
      </c>
      <c r="K719" s="25">
        <v>60.13</v>
      </c>
      <c r="L719" s="9">
        <v>0</v>
      </c>
      <c r="M719" s="39" t="str">
        <f t="shared" si="22"/>
        <v>Normal Transaction</v>
      </c>
    </row>
    <row r="720" spans="1:13" x14ac:dyDescent="0.35">
      <c r="A720" s="27">
        <v>719</v>
      </c>
      <c r="B720" s="2" t="s">
        <v>0</v>
      </c>
      <c r="C720" s="2" t="s">
        <v>14</v>
      </c>
      <c r="D720" s="2" t="s">
        <v>8</v>
      </c>
      <c r="E720" s="2" t="s">
        <v>9</v>
      </c>
      <c r="F720" s="9" t="s">
        <v>17</v>
      </c>
      <c r="G720" s="9" t="str">
        <f t="shared" si="23"/>
        <v>Beverages</v>
      </c>
      <c r="H720" s="25">
        <v>5.87</v>
      </c>
      <c r="I720" s="6">
        <v>19</v>
      </c>
      <c r="J720" s="25">
        <v>7.81</v>
      </c>
      <c r="K720" s="25">
        <v>119.34</v>
      </c>
      <c r="L720" s="9">
        <v>0</v>
      </c>
      <c r="M720" s="39" t="str">
        <f t="shared" si="22"/>
        <v>Normal Transaction</v>
      </c>
    </row>
    <row r="721" spans="1:13" x14ac:dyDescent="0.35">
      <c r="A721" s="27">
        <v>720</v>
      </c>
      <c r="B721" s="2" t="s">
        <v>0</v>
      </c>
      <c r="C721" s="2" t="s">
        <v>14</v>
      </c>
      <c r="D721" s="2" t="s">
        <v>2</v>
      </c>
      <c r="E721" s="2" t="s">
        <v>9</v>
      </c>
      <c r="F721" s="9" t="s">
        <v>12</v>
      </c>
      <c r="G721" s="9" t="str">
        <f t="shared" si="23"/>
        <v>Fruits</v>
      </c>
      <c r="H721" s="25">
        <v>1.0900000000000001</v>
      </c>
      <c r="I721" s="6">
        <v>20</v>
      </c>
      <c r="J721" s="25">
        <v>1.53</v>
      </c>
      <c r="K721" s="25">
        <v>23.33</v>
      </c>
      <c r="L721" s="9">
        <v>2</v>
      </c>
      <c r="M721" s="39" t="str">
        <f t="shared" si="22"/>
        <v>Normal Transaction</v>
      </c>
    </row>
    <row r="722" spans="1:13" x14ac:dyDescent="0.35">
      <c r="A722" s="27">
        <v>721</v>
      </c>
      <c r="B722" s="2" t="s">
        <v>0</v>
      </c>
      <c r="C722" s="2" t="s">
        <v>14</v>
      </c>
      <c r="D722" s="2" t="s">
        <v>2</v>
      </c>
      <c r="E722" s="2" t="s">
        <v>9</v>
      </c>
      <c r="F722" s="9" t="s">
        <v>15</v>
      </c>
      <c r="G722" s="9" t="str">
        <f t="shared" si="23"/>
        <v>Household</v>
      </c>
      <c r="H722" s="25">
        <v>20.04</v>
      </c>
      <c r="I722" s="6">
        <v>15</v>
      </c>
      <c r="J722" s="25">
        <v>21.04</v>
      </c>
      <c r="K722" s="25">
        <v>321.64</v>
      </c>
      <c r="L722" s="9">
        <v>32</v>
      </c>
      <c r="M722" s="39" t="str">
        <f t="shared" si="22"/>
        <v>Normal Transaction</v>
      </c>
    </row>
    <row r="723" spans="1:13" x14ac:dyDescent="0.35">
      <c r="A723" s="27">
        <v>722</v>
      </c>
      <c r="B723" s="2" t="s">
        <v>31</v>
      </c>
      <c r="C723" s="2" t="s">
        <v>1</v>
      </c>
      <c r="D723" s="2" t="s">
        <v>2</v>
      </c>
      <c r="E723" s="2" t="s">
        <v>9</v>
      </c>
      <c r="F723" s="9" t="s">
        <v>4</v>
      </c>
      <c r="G723" s="9" t="str">
        <f t="shared" si="23"/>
        <v>Personal Care</v>
      </c>
      <c r="H723" s="25">
        <v>17.96</v>
      </c>
      <c r="I723" s="6">
        <v>1</v>
      </c>
      <c r="J723" s="25">
        <v>1.26</v>
      </c>
      <c r="K723" s="25">
        <v>19.22</v>
      </c>
      <c r="L723" s="9">
        <v>1</v>
      </c>
      <c r="M723" s="39" t="str">
        <f t="shared" si="22"/>
        <v>Normal Transaction</v>
      </c>
    </row>
    <row r="724" spans="1:13" x14ac:dyDescent="0.35">
      <c r="A724" s="27">
        <v>723</v>
      </c>
      <c r="B724" s="2" t="s">
        <v>6</v>
      </c>
      <c r="C724" s="2" t="s">
        <v>7</v>
      </c>
      <c r="D724" s="2" t="s">
        <v>2</v>
      </c>
      <c r="E724" s="2" t="s">
        <v>3</v>
      </c>
      <c r="F724" s="9" t="s">
        <v>4</v>
      </c>
      <c r="G724" s="9" t="str">
        <f t="shared" si="23"/>
        <v>Personal Care</v>
      </c>
      <c r="H724" s="25">
        <v>14.97</v>
      </c>
      <c r="I724" s="6">
        <v>13</v>
      </c>
      <c r="J724" s="25">
        <v>13.62</v>
      </c>
      <c r="K724" s="25">
        <v>208.23</v>
      </c>
      <c r="L724" s="9">
        <v>20</v>
      </c>
      <c r="M724" s="39" t="str">
        <f t="shared" si="22"/>
        <v>Normal Transaction</v>
      </c>
    </row>
    <row r="725" spans="1:13" x14ac:dyDescent="0.35">
      <c r="A725" s="27">
        <v>724</v>
      </c>
      <c r="B725" s="2" t="s">
        <v>0</v>
      </c>
      <c r="C725" s="2" t="s">
        <v>14</v>
      </c>
      <c r="D725" s="2" t="s">
        <v>2</v>
      </c>
      <c r="E725" s="2" t="s">
        <v>3</v>
      </c>
      <c r="F725" s="9" t="s">
        <v>4</v>
      </c>
      <c r="G725" s="9" t="str">
        <f t="shared" si="23"/>
        <v>Personal Care</v>
      </c>
      <c r="H725" s="25">
        <v>15.53</v>
      </c>
      <c r="I725" s="6">
        <v>12</v>
      </c>
      <c r="J725" s="25">
        <v>13.05</v>
      </c>
      <c r="K725" s="25">
        <v>199.41</v>
      </c>
      <c r="L725" s="9">
        <v>19</v>
      </c>
      <c r="M725" s="39" t="str">
        <f t="shared" si="22"/>
        <v>Normal Transaction</v>
      </c>
    </row>
    <row r="726" spans="1:13" x14ac:dyDescent="0.35">
      <c r="A726" s="27">
        <v>725</v>
      </c>
      <c r="B726" s="2" t="s">
        <v>31</v>
      </c>
      <c r="C726" s="2" t="s">
        <v>1</v>
      </c>
      <c r="D726" s="2" t="s">
        <v>2</v>
      </c>
      <c r="E726" s="2" t="s">
        <v>9</v>
      </c>
      <c r="F726" s="9" t="s">
        <v>15</v>
      </c>
      <c r="G726" s="9" t="str">
        <f t="shared" si="23"/>
        <v>Household</v>
      </c>
      <c r="H726" s="25">
        <v>7.83</v>
      </c>
      <c r="I726" s="6">
        <v>15</v>
      </c>
      <c r="J726" s="25">
        <v>8.2200000000000006</v>
      </c>
      <c r="K726" s="25">
        <v>125.67</v>
      </c>
      <c r="L726" s="9">
        <v>12</v>
      </c>
      <c r="M726" s="39" t="str">
        <f t="shared" si="22"/>
        <v>Normal Transaction</v>
      </c>
    </row>
    <row r="727" spans="1:13" x14ac:dyDescent="0.35">
      <c r="A727" s="27">
        <v>726</v>
      </c>
      <c r="B727" s="2" t="s">
        <v>6</v>
      </c>
      <c r="C727" s="2" t="s">
        <v>7</v>
      </c>
      <c r="D727" s="2" t="s">
        <v>2</v>
      </c>
      <c r="E727" s="2" t="s">
        <v>3</v>
      </c>
      <c r="F727" s="9" t="s">
        <v>12</v>
      </c>
      <c r="G727" s="9" t="str">
        <f t="shared" si="23"/>
        <v>Fruits</v>
      </c>
      <c r="H727" s="25">
        <v>10.11</v>
      </c>
      <c r="I727" s="6">
        <v>1</v>
      </c>
      <c r="J727" s="25">
        <v>0.71</v>
      </c>
      <c r="K727" s="25">
        <v>10.82</v>
      </c>
      <c r="L727" s="9">
        <v>1</v>
      </c>
      <c r="M727" s="39" t="str">
        <f t="shared" si="22"/>
        <v>Normal Transaction</v>
      </c>
    </row>
    <row r="728" spans="1:13" x14ac:dyDescent="0.35">
      <c r="A728" s="27">
        <v>727</v>
      </c>
      <c r="B728" s="2" t="s">
        <v>31</v>
      </c>
      <c r="C728" s="2" t="s">
        <v>1</v>
      </c>
      <c r="D728" s="2" t="s">
        <v>2</v>
      </c>
      <c r="E728" s="2" t="s">
        <v>3</v>
      </c>
      <c r="F728" s="9" t="s">
        <v>12</v>
      </c>
      <c r="G728" s="9" t="str">
        <f t="shared" si="23"/>
        <v>Fruits</v>
      </c>
      <c r="H728" s="25">
        <v>6</v>
      </c>
      <c r="I728" s="6">
        <v>16</v>
      </c>
      <c r="J728" s="25">
        <v>6.72</v>
      </c>
      <c r="K728" s="25">
        <v>102.72</v>
      </c>
      <c r="L728" s="9">
        <v>10</v>
      </c>
      <c r="M728" s="39" t="str">
        <f t="shared" si="22"/>
        <v>Normal Transaction</v>
      </c>
    </row>
    <row r="729" spans="1:13" x14ac:dyDescent="0.35">
      <c r="A729" s="27">
        <v>728</v>
      </c>
      <c r="B729" s="2" t="s">
        <v>31</v>
      </c>
      <c r="C729" s="2" t="s">
        <v>1</v>
      </c>
      <c r="D729" s="2" t="s">
        <v>2</v>
      </c>
      <c r="E729" s="2" t="s">
        <v>9</v>
      </c>
      <c r="F729" s="9" t="s">
        <v>10</v>
      </c>
      <c r="G729" s="9" t="str">
        <f t="shared" si="23"/>
        <v>Stationery</v>
      </c>
      <c r="H729" s="25">
        <v>9.32</v>
      </c>
      <c r="I729" s="6">
        <v>20</v>
      </c>
      <c r="J729" s="25">
        <v>13.05</v>
      </c>
      <c r="K729" s="25">
        <v>199.45</v>
      </c>
      <c r="L729" s="9">
        <v>19</v>
      </c>
      <c r="M729" s="39" t="str">
        <f t="shared" si="22"/>
        <v>Normal Transaction</v>
      </c>
    </row>
    <row r="730" spans="1:13" x14ac:dyDescent="0.35">
      <c r="A730" s="27">
        <v>729</v>
      </c>
      <c r="B730" s="2" t="s">
        <v>0</v>
      </c>
      <c r="C730" s="2" t="s">
        <v>14</v>
      </c>
      <c r="D730" s="2" t="s">
        <v>8</v>
      </c>
      <c r="E730" s="2" t="s">
        <v>3</v>
      </c>
      <c r="F730" s="9" t="s">
        <v>15</v>
      </c>
      <c r="G730" s="9" t="str">
        <f t="shared" si="23"/>
        <v>Household</v>
      </c>
      <c r="H730" s="25">
        <v>2.93</v>
      </c>
      <c r="I730" s="6">
        <v>14</v>
      </c>
      <c r="J730" s="25">
        <v>2.87</v>
      </c>
      <c r="K730" s="25">
        <v>43.89</v>
      </c>
      <c r="L730" s="9">
        <v>0</v>
      </c>
      <c r="M730" s="39" t="str">
        <f t="shared" si="22"/>
        <v>Normal Transaction</v>
      </c>
    </row>
    <row r="731" spans="1:13" x14ac:dyDescent="0.35">
      <c r="A731" s="27">
        <v>730</v>
      </c>
      <c r="B731" s="2" t="s">
        <v>0</v>
      </c>
      <c r="C731" s="2" t="s">
        <v>14</v>
      </c>
      <c r="D731" s="2" t="s">
        <v>2</v>
      </c>
      <c r="E731" s="2" t="s">
        <v>3</v>
      </c>
      <c r="F731" s="9" t="s">
        <v>15</v>
      </c>
      <c r="G731" s="9" t="str">
        <f t="shared" si="23"/>
        <v>Household</v>
      </c>
      <c r="H731" s="25">
        <v>12.67</v>
      </c>
      <c r="I731" s="6">
        <v>11</v>
      </c>
      <c r="J731" s="25">
        <v>9.76</v>
      </c>
      <c r="K731" s="25">
        <v>149.13</v>
      </c>
      <c r="L731" s="9">
        <v>14</v>
      </c>
      <c r="M731" s="39" t="str">
        <f t="shared" si="22"/>
        <v>Normal Transaction</v>
      </c>
    </row>
    <row r="732" spans="1:13" x14ac:dyDescent="0.35">
      <c r="A732" s="27">
        <v>731</v>
      </c>
      <c r="B732" s="2" t="s">
        <v>0</v>
      </c>
      <c r="C732" s="2" t="s">
        <v>14</v>
      </c>
      <c r="D732" s="2" t="s">
        <v>2</v>
      </c>
      <c r="E732" s="2" t="s">
        <v>3</v>
      </c>
      <c r="F732" s="9" t="s">
        <v>10</v>
      </c>
      <c r="G732" s="9" t="str">
        <f t="shared" si="23"/>
        <v>Stationery</v>
      </c>
      <c r="H732" s="25">
        <v>7.74</v>
      </c>
      <c r="I732" s="6">
        <v>10</v>
      </c>
      <c r="J732" s="25">
        <v>5.42</v>
      </c>
      <c r="K732" s="25">
        <v>82.82</v>
      </c>
      <c r="L732" s="9">
        <v>8</v>
      </c>
      <c r="M732" s="39" t="str">
        <f t="shared" si="22"/>
        <v>Normal Transaction</v>
      </c>
    </row>
    <row r="733" spans="1:13" x14ac:dyDescent="0.35">
      <c r="A733" s="27">
        <v>732</v>
      </c>
      <c r="B733" s="2" t="s">
        <v>0</v>
      </c>
      <c r="C733" s="2" t="s">
        <v>14</v>
      </c>
      <c r="D733" s="2" t="s">
        <v>8</v>
      </c>
      <c r="E733" s="2" t="s">
        <v>9</v>
      </c>
      <c r="F733" s="9" t="s">
        <v>15</v>
      </c>
      <c r="G733" s="9" t="str">
        <f t="shared" si="23"/>
        <v>Household</v>
      </c>
      <c r="H733" s="25">
        <v>2.4</v>
      </c>
      <c r="I733" s="6">
        <v>17</v>
      </c>
      <c r="J733" s="25">
        <v>2.86</v>
      </c>
      <c r="K733" s="25">
        <v>43.66</v>
      </c>
      <c r="L733" s="9">
        <v>0</v>
      </c>
      <c r="M733" s="39" t="str">
        <f t="shared" si="22"/>
        <v>Normal Transaction</v>
      </c>
    </row>
    <row r="734" spans="1:13" x14ac:dyDescent="0.35">
      <c r="A734" s="27">
        <v>733</v>
      </c>
      <c r="B734" s="2" t="s">
        <v>6</v>
      </c>
      <c r="C734" s="2" t="s">
        <v>7</v>
      </c>
      <c r="D734" s="2" t="s">
        <v>8</v>
      </c>
      <c r="E734" s="2" t="s">
        <v>3</v>
      </c>
      <c r="F734" s="9" t="s">
        <v>15</v>
      </c>
      <c r="G734" s="9" t="str">
        <f t="shared" si="23"/>
        <v>Household</v>
      </c>
      <c r="H734" s="25">
        <v>5.43</v>
      </c>
      <c r="I734" s="6">
        <v>16</v>
      </c>
      <c r="J734" s="25">
        <v>6.08</v>
      </c>
      <c r="K734" s="25">
        <v>92.96</v>
      </c>
      <c r="L734" s="9">
        <v>0</v>
      </c>
      <c r="M734" s="39" t="str">
        <f t="shared" si="22"/>
        <v>Normal Transaction</v>
      </c>
    </row>
    <row r="735" spans="1:13" x14ac:dyDescent="0.35">
      <c r="A735" s="27">
        <v>734</v>
      </c>
      <c r="B735" s="2" t="s">
        <v>6</v>
      </c>
      <c r="C735" s="2" t="s">
        <v>7</v>
      </c>
      <c r="D735" s="2" t="s">
        <v>2</v>
      </c>
      <c r="E735" s="2" t="s">
        <v>3</v>
      </c>
      <c r="F735" s="9" t="s">
        <v>10</v>
      </c>
      <c r="G735" s="9" t="str">
        <f t="shared" si="23"/>
        <v>Stationery</v>
      </c>
      <c r="H735" s="25">
        <v>14.92</v>
      </c>
      <c r="I735" s="6">
        <v>17</v>
      </c>
      <c r="J735" s="25">
        <v>17.75</v>
      </c>
      <c r="K735" s="25">
        <v>271.39</v>
      </c>
      <c r="L735" s="9">
        <v>27</v>
      </c>
      <c r="M735" s="39" t="str">
        <f t="shared" si="22"/>
        <v>Normal Transaction</v>
      </c>
    </row>
    <row r="736" spans="1:13" x14ac:dyDescent="0.35">
      <c r="A736" s="27">
        <v>735</v>
      </c>
      <c r="B736" s="2" t="s">
        <v>31</v>
      </c>
      <c r="C736" s="2" t="s">
        <v>1</v>
      </c>
      <c r="D736" s="2" t="s">
        <v>2</v>
      </c>
      <c r="E736" s="2" t="s">
        <v>9</v>
      </c>
      <c r="F736" s="9" t="s">
        <v>15</v>
      </c>
      <c r="G736" s="9" t="str">
        <f t="shared" si="23"/>
        <v>Household</v>
      </c>
      <c r="H736" s="25">
        <v>12.85</v>
      </c>
      <c r="I736" s="6">
        <v>2</v>
      </c>
      <c r="J736" s="25">
        <v>1.8</v>
      </c>
      <c r="K736" s="25">
        <v>27.5</v>
      </c>
      <c r="L736" s="9">
        <v>2</v>
      </c>
      <c r="M736" s="39" t="str">
        <f t="shared" si="22"/>
        <v>Normal Transaction</v>
      </c>
    </row>
    <row r="737" spans="1:13" x14ac:dyDescent="0.35">
      <c r="A737" s="27">
        <v>736</v>
      </c>
      <c r="B737" s="2" t="s">
        <v>31</v>
      </c>
      <c r="C737" s="2" t="s">
        <v>1</v>
      </c>
      <c r="D737" s="2" t="s">
        <v>2</v>
      </c>
      <c r="E737" s="2" t="s">
        <v>3</v>
      </c>
      <c r="F737" s="9" t="s">
        <v>4</v>
      </c>
      <c r="G737" s="9" t="str">
        <f t="shared" si="23"/>
        <v>Personal Care</v>
      </c>
      <c r="H737" s="25">
        <v>16.190000000000001</v>
      </c>
      <c r="I737" s="6">
        <v>9</v>
      </c>
      <c r="J737" s="25">
        <v>10.199999999999999</v>
      </c>
      <c r="K737" s="25">
        <v>155.91</v>
      </c>
      <c r="L737" s="9">
        <v>15</v>
      </c>
      <c r="M737" s="39" t="str">
        <f t="shared" si="22"/>
        <v>Normal Transaction</v>
      </c>
    </row>
    <row r="738" spans="1:13" x14ac:dyDescent="0.35">
      <c r="A738" s="27">
        <v>737</v>
      </c>
      <c r="B738" s="2" t="s">
        <v>31</v>
      </c>
      <c r="C738" s="2" t="s">
        <v>1</v>
      </c>
      <c r="D738" s="2" t="s">
        <v>2</v>
      </c>
      <c r="E738" s="2" t="s">
        <v>9</v>
      </c>
      <c r="F738" s="9" t="s">
        <v>12</v>
      </c>
      <c r="G738" s="9" t="str">
        <f t="shared" si="23"/>
        <v>Fruits</v>
      </c>
      <c r="H738" s="25">
        <v>8.4700000000000006</v>
      </c>
      <c r="I738" s="6">
        <v>15</v>
      </c>
      <c r="J738" s="25">
        <v>8.89</v>
      </c>
      <c r="K738" s="25">
        <v>135.94</v>
      </c>
      <c r="L738" s="9">
        <v>13</v>
      </c>
      <c r="M738" s="39" t="str">
        <f t="shared" si="22"/>
        <v>Normal Transaction</v>
      </c>
    </row>
    <row r="739" spans="1:13" x14ac:dyDescent="0.35">
      <c r="A739" s="27">
        <v>738</v>
      </c>
      <c r="B739" s="2" t="s">
        <v>6</v>
      </c>
      <c r="C739" s="2" t="s">
        <v>7</v>
      </c>
      <c r="D739" s="2" t="s">
        <v>2</v>
      </c>
      <c r="E739" s="2" t="s">
        <v>9</v>
      </c>
      <c r="F739" s="9" t="s">
        <v>10</v>
      </c>
      <c r="G739" s="9" t="str">
        <f t="shared" si="23"/>
        <v>Stationery</v>
      </c>
      <c r="H739" s="25">
        <v>7.94</v>
      </c>
      <c r="I739" s="6">
        <v>8</v>
      </c>
      <c r="J739" s="25">
        <v>4.45</v>
      </c>
      <c r="K739" s="25">
        <v>67.97</v>
      </c>
      <c r="L739" s="9">
        <v>6</v>
      </c>
      <c r="M739" s="39" t="str">
        <f t="shared" si="22"/>
        <v>Normal Transaction</v>
      </c>
    </row>
    <row r="740" spans="1:13" x14ac:dyDescent="0.35">
      <c r="A740" s="27">
        <v>739</v>
      </c>
      <c r="B740" s="2" t="s">
        <v>0</v>
      </c>
      <c r="C740" s="2" t="s">
        <v>14</v>
      </c>
      <c r="D740" s="2" t="s">
        <v>8</v>
      </c>
      <c r="E740" s="2" t="s">
        <v>3</v>
      </c>
      <c r="F740" s="9" t="s">
        <v>10</v>
      </c>
      <c r="G740" s="9" t="str">
        <f t="shared" si="23"/>
        <v>Stationery</v>
      </c>
      <c r="H740" s="25">
        <v>18.04</v>
      </c>
      <c r="I740" s="6">
        <v>18</v>
      </c>
      <c r="J740" s="25">
        <v>22.73</v>
      </c>
      <c r="K740" s="25">
        <v>347.45</v>
      </c>
      <c r="L740" s="9">
        <v>0</v>
      </c>
      <c r="M740" s="39" t="str">
        <f t="shared" si="22"/>
        <v>Normal Transaction</v>
      </c>
    </row>
    <row r="741" spans="1:13" x14ac:dyDescent="0.35">
      <c r="A741" s="27">
        <v>740</v>
      </c>
      <c r="B741" s="2" t="s">
        <v>31</v>
      </c>
      <c r="C741" s="2" t="s">
        <v>1</v>
      </c>
      <c r="D741" s="2" t="s">
        <v>8</v>
      </c>
      <c r="E741" s="2" t="s">
        <v>9</v>
      </c>
      <c r="F741" s="9" t="s">
        <v>12</v>
      </c>
      <c r="G741" s="9" t="str">
        <f t="shared" si="23"/>
        <v>Fruits</v>
      </c>
      <c r="H741" s="25">
        <v>7.15</v>
      </c>
      <c r="I741" s="6">
        <v>10</v>
      </c>
      <c r="J741" s="25">
        <v>5.01</v>
      </c>
      <c r="K741" s="25">
        <v>76.510000000000005</v>
      </c>
      <c r="L741" s="9">
        <v>0</v>
      </c>
      <c r="M741" s="39" t="str">
        <f t="shared" si="22"/>
        <v>Normal Transaction</v>
      </c>
    </row>
    <row r="742" spans="1:13" x14ac:dyDescent="0.35">
      <c r="A742" s="27">
        <v>741</v>
      </c>
      <c r="B742" s="2" t="s">
        <v>31</v>
      </c>
      <c r="C742" s="2" t="s">
        <v>1</v>
      </c>
      <c r="D742" s="2" t="s">
        <v>2</v>
      </c>
      <c r="E742" s="2" t="s">
        <v>3</v>
      </c>
      <c r="F742" s="9" t="s">
        <v>10</v>
      </c>
      <c r="G742" s="9" t="str">
        <f t="shared" si="23"/>
        <v>Stationery</v>
      </c>
      <c r="H742" s="25">
        <v>9.92</v>
      </c>
      <c r="I742" s="6">
        <v>3</v>
      </c>
      <c r="J742" s="25">
        <v>2.08</v>
      </c>
      <c r="K742" s="25">
        <v>31.84</v>
      </c>
      <c r="L742" s="9">
        <v>3</v>
      </c>
      <c r="M742" s="39" t="str">
        <f t="shared" si="22"/>
        <v>Normal Transaction</v>
      </c>
    </row>
    <row r="743" spans="1:13" x14ac:dyDescent="0.35">
      <c r="A743" s="27">
        <v>742</v>
      </c>
      <c r="B743" s="2" t="s">
        <v>0</v>
      </c>
      <c r="C743" s="2" t="s">
        <v>14</v>
      </c>
      <c r="D743" s="2" t="s">
        <v>8</v>
      </c>
      <c r="E743" s="2" t="s">
        <v>3</v>
      </c>
      <c r="F743" s="9" t="s">
        <v>4</v>
      </c>
      <c r="G743" s="9" t="str">
        <f t="shared" si="23"/>
        <v>Personal Care</v>
      </c>
      <c r="H743" s="25">
        <v>9.3699999999999992</v>
      </c>
      <c r="I743" s="6">
        <v>9</v>
      </c>
      <c r="J743" s="25">
        <v>5.9</v>
      </c>
      <c r="K743" s="25">
        <v>90.23</v>
      </c>
      <c r="L743" s="9">
        <v>0</v>
      </c>
      <c r="M743" s="39" t="str">
        <f t="shared" si="22"/>
        <v>Normal Transaction</v>
      </c>
    </row>
    <row r="744" spans="1:13" x14ac:dyDescent="0.35">
      <c r="A744" s="27">
        <v>743</v>
      </c>
      <c r="B744" s="2" t="s">
        <v>0</v>
      </c>
      <c r="C744" s="2" t="s">
        <v>14</v>
      </c>
      <c r="D744" s="2" t="s">
        <v>2</v>
      </c>
      <c r="E744" s="2" t="s">
        <v>9</v>
      </c>
      <c r="F744" s="9" t="s">
        <v>10</v>
      </c>
      <c r="G744" s="9" t="str">
        <f t="shared" si="23"/>
        <v>Stationery</v>
      </c>
      <c r="H744" s="25">
        <v>9.06</v>
      </c>
      <c r="I744" s="6">
        <v>16</v>
      </c>
      <c r="J744" s="25">
        <v>10.15</v>
      </c>
      <c r="K744" s="25">
        <v>155.11000000000001</v>
      </c>
      <c r="L744" s="9">
        <v>15</v>
      </c>
      <c r="M744" s="39" t="str">
        <f t="shared" si="22"/>
        <v>Normal Transaction</v>
      </c>
    </row>
    <row r="745" spans="1:13" x14ac:dyDescent="0.35">
      <c r="A745" s="27">
        <v>744</v>
      </c>
      <c r="B745" s="2" t="s">
        <v>6</v>
      </c>
      <c r="C745" s="2" t="s">
        <v>7</v>
      </c>
      <c r="D745" s="2" t="s">
        <v>8</v>
      </c>
      <c r="E745" s="2" t="s">
        <v>3</v>
      </c>
      <c r="F745" s="9" t="s">
        <v>15</v>
      </c>
      <c r="G745" s="9" t="str">
        <f t="shared" si="23"/>
        <v>Household</v>
      </c>
      <c r="H745" s="25">
        <v>16.32</v>
      </c>
      <c r="I745" s="6">
        <v>1</v>
      </c>
      <c r="J745" s="25">
        <v>1.1399999999999999</v>
      </c>
      <c r="K745" s="25">
        <v>17.46</v>
      </c>
      <c r="L745" s="9">
        <v>0</v>
      </c>
      <c r="M745" s="39" t="str">
        <f t="shared" si="22"/>
        <v>Normal Transaction</v>
      </c>
    </row>
    <row r="746" spans="1:13" x14ac:dyDescent="0.35">
      <c r="A746" s="27">
        <v>745</v>
      </c>
      <c r="B746" s="2" t="s">
        <v>0</v>
      </c>
      <c r="C746" s="2" t="s">
        <v>14</v>
      </c>
      <c r="D746" s="2" t="s">
        <v>2</v>
      </c>
      <c r="E746" s="2" t="s">
        <v>3</v>
      </c>
      <c r="F746" s="9" t="s">
        <v>17</v>
      </c>
      <c r="G746" s="9" t="str">
        <f t="shared" si="23"/>
        <v>Beverages</v>
      </c>
      <c r="H746" s="25">
        <v>20.23</v>
      </c>
      <c r="I746" s="6">
        <v>14</v>
      </c>
      <c r="J746" s="25">
        <v>19.829999999999998</v>
      </c>
      <c r="K746" s="25">
        <v>303.05</v>
      </c>
      <c r="L746" s="9">
        <v>30</v>
      </c>
      <c r="M746" s="39" t="str">
        <f t="shared" si="22"/>
        <v>Normal Transaction</v>
      </c>
    </row>
    <row r="747" spans="1:13" x14ac:dyDescent="0.35">
      <c r="A747" s="27">
        <v>746</v>
      </c>
      <c r="B747" s="2" t="s">
        <v>0</v>
      </c>
      <c r="C747" s="2" t="s">
        <v>14</v>
      </c>
      <c r="D747" s="2" t="s">
        <v>2</v>
      </c>
      <c r="E747" s="2" t="s">
        <v>9</v>
      </c>
      <c r="F747" s="9" t="s">
        <v>4</v>
      </c>
      <c r="G747" s="9" t="str">
        <f t="shared" si="23"/>
        <v>Personal Care</v>
      </c>
      <c r="H747" s="25">
        <v>9.25</v>
      </c>
      <c r="I747" s="6">
        <v>14</v>
      </c>
      <c r="J747" s="25">
        <v>9.07</v>
      </c>
      <c r="K747" s="25">
        <v>138.57</v>
      </c>
      <c r="L747" s="9">
        <v>13</v>
      </c>
      <c r="M747" s="39" t="str">
        <f t="shared" si="22"/>
        <v>Normal Transaction</v>
      </c>
    </row>
    <row r="748" spans="1:13" x14ac:dyDescent="0.35">
      <c r="A748" s="27">
        <v>747</v>
      </c>
      <c r="B748" s="2" t="s">
        <v>31</v>
      </c>
      <c r="C748" s="2" t="s">
        <v>1</v>
      </c>
      <c r="D748" s="2" t="s">
        <v>8</v>
      </c>
      <c r="E748" s="2" t="s">
        <v>3</v>
      </c>
      <c r="F748" s="9" t="s">
        <v>17</v>
      </c>
      <c r="G748" s="9" t="str">
        <f t="shared" si="23"/>
        <v>Beverages</v>
      </c>
      <c r="H748" s="25">
        <v>16.84</v>
      </c>
      <c r="I748" s="6">
        <v>1</v>
      </c>
      <c r="J748" s="25">
        <v>1.18</v>
      </c>
      <c r="K748" s="25">
        <v>18.02</v>
      </c>
      <c r="L748" s="9">
        <v>0</v>
      </c>
      <c r="M748" s="39" t="str">
        <f t="shared" si="22"/>
        <v>Normal Transaction</v>
      </c>
    </row>
    <row r="749" spans="1:13" x14ac:dyDescent="0.35">
      <c r="A749" s="27">
        <v>748</v>
      </c>
      <c r="B749" s="2" t="s">
        <v>6</v>
      </c>
      <c r="C749" s="2" t="s">
        <v>7</v>
      </c>
      <c r="D749" s="2" t="s">
        <v>8</v>
      </c>
      <c r="E749" s="2" t="s">
        <v>9</v>
      </c>
      <c r="F749" s="9" t="s">
        <v>10</v>
      </c>
      <c r="G749" s="9" t="str">
        <f t="shared" si="23"/>
        <v>Stationery</v>
      </c>
      <c r="H749" s="25">
        <v>6.61</v>
      </c>
      <c r="I749" s="6">
        <v>4</v>
      </c>
      <c r="J749" s="25">
        <v>1.85</v>
      </c>
      <c r="K749" s="25">
        <v>28.29</v>
      </c>
      <c r="L749" s="9">
        <v>0</v>
      </c>
      <c r="M749" s="39" t="str">
        <f t="shared" si="22"/>
        <v>Normal Transaction</v>
      </c>
    </row>
    <row r="750" spans="1:13" x14ac:dyDescent="0.35">
      <c r="A750" s="27">
        <v>749</v>
      </c>
      <c r="B750" s="2" t="s">
        <v>0</v>
      </c>
      <c r="C750" s="2" t="s">
        <v>14</v>
      </c>
      <c r="D750" s="2" t="s">
        <v>8</v>
      </c>
      <c r="E750" s="2" t="s">
        <v>9</v>
      </c>
      <c r="F750" s="9" t="s">
        <v>10</v>
      </c>
      <c r="G750" s="9" t="str">
        <f t="shared" si="23"/>
        <v>Stationery</v>
      </c>
      <c r="H750" s="25">
        <v>13.59</v>
      </c>
      <c r="I750" s="6">
        <v>12</v>
      </c>
      <c r="J750" s="25">
        <v>11.42</v>
      </c>
      <c r="K750" s="25">
        <v>174.5</v>
      </c>
      <c r="L750" s="9">
        <v>0</v>
      </c>
      <c r="M750" s="39" t="str">
        <f t="shared" si="22"/>
        <v>Normal Transaction</v>
      </c>
    </row>
    <row r="751" spans="1:13" x14ac:dyDescent="0.35">
      <c r="A751" s="27">
        <v>750</v>
      </c>
      <c r="B751" s="2" t="s">
        <v>31</v>
      </c>
      <c r="C751" s="2" t="s">
        <v>1</v>
      </c>
      <c r="D751" s="2" t="s">
        <v>2</v>
      </c>
      <c r="E751" s="2" t="s">
        <v>3</v>
      </c>
      <c r="F751" s="9" t="s">
        <v>15</v>
      </c>
      <c r="G751" s="9" t="str">
        <f t="shared" si="23"/>
        <v>Household</v>
      </c>
      <c r="H751" s="25">
        <v>18.32</v>
      </c>
      <c r="I751" s="6">
        <v>14</v>
      </c>
      <c r="J751" s="25">
        <v>17.95</v>
      </c>
      <c r="K751" s="25">
        <v>274.43</v>
      </c>
      <c r="L751" s="9">
        <v>27</v>
      </c>
      <c r="M751" s="39" t="str">
        <f t="shared" si="22"/>
        <v>Normal Transaction</v>
      </c>
    </row>
    <row r="752" spans="1:13" x14ac:dyDescent="0.35">
      <c r="A752" s="27">
        <v>751</v>
      </c>
      <c r="B752" s="2" t="s">
        <v>0</v>
      </c>
      <c r="C752" s="2" t="s">
        <v>14</v>
      </c>
      <c r="D752" s="2" t="s">
        <v>8</v>
      </c>
      <c r="E752" s="2" t="s">
        <v>3</v>
      </c>
      <c r="F752" s="9" t="s">
        <v>12</v>
      </c>
      <c r="G752" s="9" t="str">
        <f t="shared" si="23"/>
        <v>Fruits</v>
      </c>
      <c r="H752" s="25">
        <v>12.14</v>
      </c>
      <c r="I752" s="6">
        <v>20</v>
      </c>
      <c r="J752" s="25">
        <v>17</v>
      </c>
      <c r="K752" s="25">
        <v>259.8</v>
      </c>
      <c r="L752" s="9">
        <v>0</v>
      </c>
      <c r="M752" s="39" t="str">
        <f t="shared" si="22"/>
        <v>Normal Transaction</v>
      </c>
    </row>
    <row r="753" spans="1:13" x14ac:dyDescent="0.35">
      <c r="A753" s="27">
        <v>752</v>
      </c>
      <c r="B753" s="2" t="s">
        <v>0</v>
      </c>
      <c r="C753" s="2" t="s">
        <v>14</v>
      </c>
      <c r="D753" s="2" t="s">
        <v>2</v>
      </c>
      <c r="E753" s="2" t="s">
        <v>9</v>
      </c>
      <c r="F753" s="9" t="s">
        <v>15</v>
      </c>
      <c r="G753" s="9" t="str">
        <f t="shared" si="23"/>
        <v>Household</v>
      </c>
      <c r="H753" s="25">
        <v>7.98</v>
      </c>
      <c r="I753" s="6">
        <v>3</v>
      </c>
      <c r="J753" s="25">
        <v>1.68</v>
      </c>
      <c r="K753" s="25">
        <v>25.62</v>
      </c>
      <c r="L753" s="9">
        <v>2</v>
      </c>
      <c r="M753" s="39" t="str">
        <f t="shared" si="22"/>
        <v>Normal Transaction</v>
      </c>
    </row>
    <row r="754" spans="1:13" x14ac:dyDescent="0.35">
      <c r="A754" s="27">
        <v>753</v>
      </c>
      <c r="B754" s="2" t="s">
        <v>6</v>
      </c>
      <c r="C754" s="2" t="s">
        <v>7</v>
      </c>
      <c r="D754" s="2" t="s">
        <v>2</v>
      </c>
      <c r="E754" s="2" t="s">
        <v>3</v>
      </c>
      <c r="F754" s="9" t="s">
        <v>17</v>
      </c>
      <c r="G754" s="9" t="str">
        <f t="shared" si="23"/>
        <v>Beverages</v>
      </c>
      <c r="H754" s="25">
        <v>7.87</v>
      </c>
      <c r="I754" s="6">
        <v>3</v>
      </c>
      <c r="J754" s="25">
        <v>1.65</v>
      </c>
      <c r="K754" s="25">
        <v>25.26</v>
      </c>
      <c r="L754" s="9">
        <v>2</v>
      </c>
      <c r="M754" s="39" t="str">
        <f t="shared" si="22"/>
        <v>Normal Transaction</v>
      </c>
    </row>
    <row r="755" spans="1:13" x14ac:dyDescent="0.35">
      <c r="A755" s="27">
        <v>754</v>
      </c>
      <c r="B755" s="2" t="s">
        <v>0</v>
      </c>
      <c r="C755" s="2" t="s">
        <v>14</v>
      </c>
      <c r="D755" s="2" t="s">
        <v>8</v>
      </c>
      <c r="E755" s="2" t="s">
        <v>3</v>
      </c>
      <c r="F755" s="9" t="s">
        <v>17</v>
      </c>
      <c r="G755" s="9" t="str">
        <f t="shared" si="23"/>
        <v>Beverages</v>
      </c>
      <c r="H755" s="25">
        <v>16.89</v>
      </c>
      <c r="I755" s="6">
        <v>17</v>
      </c>
      <c r="J755" s="25">
        <v>20.100000000000001</v>
      </c>
      <c r="K755" s="25">
        <v>307.23</v>
      </c>
      <c r="L755" s="9">
        <v>0</v>
      </c>
      <c r="M755" s="39" t="str">
        <f t="shared" si="22"/>
        <v>Normal Transaction</v>
      </c>
    </row>
    <row r="756" spans="1:13" x14ac:dyDescent="0.35">
      <c r="A756" s="27">
        <v>755</v>
      </c>
      <c r="B756" s="2" t="s">
        <v>0</v>
      </c>
      <c r="C756" s="2" t="s">
        <v>14</v>
      </c>
      <c r="D756" s="2" t="s">
        <v>2</v>
      </c>
      <c r="E756" s="2" t="s">
        <v>3</v>
      </c>
      <c r="F756" s="9" t="s">
        <v>15</v>
      </c>
      <c r="G756" s="9" t="str">
        <f t="shared" si="23"/>
        <v>Household</v>
      </c>
      <c r="H756" s="25">
        <v>3.09</v>
      </c>
      <c r="I756" s="6">
        <v>2</v>
      </c>
      <c r="J756" s="25">
        <v>0.43</v>
      </c>
      <c r="K756" s="25">
        <v>6.61</v>
      </c>
      <c r="L756" s="9">
        <v>0</v>
      </c>
      <c r="M756" s="39" t="str">
        <f t="shared" si="22"/>
        <v>Normal Transaction</v>
      </c>
    </row>
    <row r="757" spans="1:13" x14ac:dyDescent="0.35">
      <c r="A757" s="27">
        <v>756</v>
      </c>
      <c r="B757" s="2" t="s">
        <v>6</v>
      </c>
      <c r="C757" s="2" t="s">
        <v>7</v>
      </c>
      <c r="D757" s="2" t="s">
        <v>2</v>
      </c>
      <c r="E757" s="2" t="s">
        <v>9</v>
      </c>
      <c r="F757" s="9" t="s">
        <v>17</v>
      </c>
      <c r="G757" s="9" t="str">
        <f t="shared" si="23"/>
        <v>Beverages</v>
      </c>
      <c r="H757" s="25">
        <v>2.2000000000000002</v>
      </c>
      <c r="I757" s="6">
        <v>20</v>
      </c>
      <c r="J757" s="25">
        <v>3.08</v>
      </c>
      <c r="K757" s="25">
        <v>47.08</v>
      </c>
      <c r="L757" s="9">
        <v>4</v>
      </c>
      <c r="M757" s="39" t="str">
        <f t="shared" si="22"/>
        <v>Normal Transaction</v>
      </c>
    </row>
    <row r="758" spans="1:13" x14ac:dyDescent="0.35">
      <c r="A758" s="27">
        <v>757</v>
      </c>
      <c r="B758" s="2" t="s">
        <v>0</v>
      </c>
      <c r="C758" s="2" t="s">
        <v>14</v>
      </c>
      <c r="D758" s="2" t="s">
        <v>2</v>
      </c>
      <c r="E758" s="2" t="s">
        <v>9</v>
      </c>
      <c r="F758" s="9" t="s">
        <v>12</v>
      </c>
      <c r="G758" s="9" t="str">
        <f t="shared" si="23"/>
        <v>Fruits</v>
      </c>
      <c r="H758" s="25">
        <v>2.73</v>
      </c>
      <c r="I758" s="6">
        <v>10</v>
      </c>
      <c r="J758" s="25">
        <v>1.91</v>
      </c>
      <c r="K758" s="25">
        <v>29.21</v>
      </c>
      <c r="L758" s="9">
        <v>2</v>
      </c>
      <c r="M758" s="39" t="str">
        <f t="shared" si="22"/>
        <v>Normal Transaction</v>
      </c>
    </row>
    <row r="759" spans="1:13" x14ac:dyDescent="0.35">
      <c r="A759" s="27">
        <v>758</v>
      </c>
      <c r="B759" s="2" t="s">
        <v>6</v>
      </c>
      <c r="C759" s="2" t="s">
        <v>7</v>
      </c>
      <c r="D759" s="2" t="s">
        <v>2</v>
      </c>
      <c r="E759" s="2" t="s">
        <v>3</v>
      </c>
      <c r="F759" s="9" t="s">
        <v>4</v>
      </c>
      <c r="G759" s="9" t="str">
        <f t="shared" si="23"/>
        <v>Personal Care</v>
      </c>
      <c r="H759" s="25">
        <v>16.62</v>
      </c>
      <c r="I759" s="6">
        <v>12</v>
      </c>
      <c r="J759" s="25">
        <v>13.96</v>
      </c>
      <c r="K759" s="25">
        <v>213.4</v>
      </c>
      <c r="L759" s="9">
        <v>21</v>
      </c>
      <c r="M759" s="39" t="str">
        <f t="shared" si="22"/>
        <v>Normal Transaction</v>
      </c>
    </row>
    <row r="760" spans="1:13" x14ac:dyDescent="0.35">
      <c r="A760" s="27">
        <v>759</v>
      </c>
      <c r="B760" s="2" t="s">
        <v>6</v>
      </c>
      <c r="C760" s="2" t="s">
        <v>7</v>
      </c>
      <c r="D760" s="2" t="s">
        <v>8</v>
      </c>
      <c r="E760" s="2" t="s">
        <v>3</v>
      </c>
      <c r="F760" s="9" t="s">
        <v>17</v>
      </c>
      <c r="G760" s="9" t="str">
        <f t="shared" si="23"/>
        <v>Beverages</v>
      </c>
      <c r="H760" s="25">
        <v>16.489999999999998</v>
      </c>
      <c r="I760" s="6">
        <v>2</v>
      </c>
      <c r="J760" s="25">
        <v>2.31</v>
      </c>
      <c r="K760" s="25">
        <v>35.29</v>
      </c>
      <c r="L760" s="9">
        <v>0</v>
      </c>
      <c r="M760" s="39" t="str">
        <f t="shared" si="22"/>
        <v>Normal Transaction</v>
      </c>
    </row>
    <row r="761" spans="1:13" x14ac:dyDescent="0.35">
      <c r="A761" s="27">
        <v>760</v>
      </c>
      <c r="B761" s="2" t="s">
        <v>0</v>
      </c>
      <c r="C761" s="2" t="s">
        <v>14</v>
      </c>
      <c r="D761" s="2" t="s">
        <v>8</v>
      </c>
      <c r="E761" s="2" t="s">
        <v>3</v>
      </c>
      <c r="F761" s="9" t="s">
        <v>17</v>
      </c>
      <c r="G761" s="9" t="str">
        <f t="shared" si="23"/>
        <v>Beverages</v>
      </c>
      <c r="H761" s="25">
        <v>19.920000000000002</v>
      </c>
      <c r="I761" s="6">
        <v>6</v>
      </c>
      <c r="J761" s="25">
        <v>8.3699999999999992</v>
      </c>
      <c r="K761" s="25">
        <v>127.89</v>
      </c>
      <c r="L761" s="9">
        <v>0</v>
      </c>
      <c r="M761" s="39" t="str">
        <f t="shared" si="22"/>
        <v>Normal Transaction</v>
      </c>
    </row>
    <row r="762" spans="1:13" x14ac:dyDescent="0.35">
      <c r="A762" s="27">
        <v>761</v>
      </c>
      <c r="B762" s="2" t="s">
        <v>6</v>
      </c>
      <c r="C762" s="2" t="s">
        <v>7</v>
      </c>
      <c r="D762" s="2" t="s">
        <v>8</v>
      </c>
      <c r="E762" s="2" t="s">
        <v>9</v>
      </c>
      <c r="F762" s="9" t="s">
        <v>12</v>
      </c>
      <c r="G762" s="9" t="str">
        <f t="shared" si="23"/>
        <v>Fruits</v>
      </c>
      <c r="H762" s="25">
        <v>20.74</v>
      </c>
      <c r="I762" s="6">
        <v>19</v>
      </c>
      <c r="J762" s="25">
        <v>27.58</v>
      </c>
      <c r="K762" s="25">
        <v>421.64</v>
      </c>
      <c r="L762" s="9">
        <v>0</v>
      </c>
      <c r="M762" s="39" t="str">
        <f t="shared" si="22"/>
        <v>Outlier (Extreme Spend)</v>
      </c>
    </row>
    <row r="763" spans="1:13" x14ac:dyDescent="0.35">
      <c r="A763" s="27">
        <v>762</v>
      </c>
      <c r="B763" s="2" t="s">
        <v>6</v>
      </c>
      <c r="C763" s="2" t="s">
        <v>7</v>
      </c>
      <c r="D763" s="2" t="s">
        <v>2</v>
      </c>
      <c r="E763" s="2" t="s">
        <v>3</v>
      </c>
      <c r="F763" s="9" t="s">
        <v>17</v>
      </c>
      <c r="G763" s="9" t="str">
        <f t="shared" si="23"/>
        <v>Beverages</v>
      </c>
      <c r="H763" s="25">
        <v>13.25</v>
      </c>
      <c r="I763" s="6">
        <v>6</v>
      </c>
      <c r="J763" s="25">
        <v>5.57</v>
      </c>
      <c r="K763" s="25">
        <v>85.07</v>
      </c>
      <c r="L763" s="9">
        <v>8</v>
      </c>
      <c r="M763" s="39" t="str">
        <f t="shared" si="22"/>
        <v>Normal Transaction</v>
      </c>
    </row>
    <row r="764" spans="1:13" x14ac:dyDescent="0.35">
      <c r="A764" s="27">
        <v>763</v>
      </c>
      <c r="B764" s="2" t="s">
        <v>31</v>
      </c>
      <c r="C764" s="2" t="s">
        <v>1</v>
      </c>
      <c r="D764" s="2" t="s">
        <v>2</v>
      </c>
      <c r="E764" s="2" t="s">
        <v>9</v>
      </c>
      <c r="F764" s="9" t="s">
        <v>15</v>
      </c>
      <c r="G764" s="9" t="str">
        <f t="shared" si="23"/>
        <v>Household</v>
      </c>
      <c r="H764" s="25">
        <v>10.46</v>
      </c>
      <c r="I764" s="6">
        <v>18</v>
      </c>
      <c r="J764" s="25">
        <v>13.18</v>
      </c>
      <c r="K764" s="25">
        <v>201.46</v>
      </c>
      <c r="L764" s="9">
        <v>20</v>
      </c>
      <c r="M764" s="39" t="str">
        <f t="shared" si="22"/>
        <v>Normal Transaction</v>
      </c>
    </row>
    <row r="765" spans="1:13" x14ac:dyDescent="0.35">
      <c r="A765" s="27">
        <v>764</v>
      </c>
      <c r="B765" s="2" t="s">
        <v>6</v>
      </c>
      <c r="C765" s="2" t="s">
        <v>7</v>
      </c>
      <c r="D765" s="2" t="s">
        <v>8</v>
      </c>
      <c r="E765" s="2" t="s">
        <v>9</v>
      </c>
      <c r="F765" s="9" t="s">
        <v>17</v>
      </c>
      <c r="G765" s="9" t="str">
        <f t="shared" si="23"/>
        <v>Beverages</v>
      </c>
      <c r="H765" s="25">
        <v>2.84</v>
      </c>
      <c r="I765" s="6">
        <v>18</v>
      </c>
      <c r="J765" s="25">
        <v>3.58</v>
      </c>
      <c r="K765" s="25">
        <v>54.7</v>
      </c>
      <c r="L765" s="9">
        <v>0</v>
      </c>
      <c r="M765" s="39" t="str">
        <f t="shared" si="22"/>
        <v>Normal Transaction</v>
      </c>
    </row>
    <row r="766" spans="1:13" x14ac:dyDescent="0.35">
      <c r="A766" s="27">
        <v>765</v>
      </c>
      <c r="B766" s="2" t="s">
        <v>31</v>
      </c>
      <c r="C766" s="2" t="s">
        <v>1</v>
      </c>
      <c r="D766" s="2" t="s">
        <v>8</v>
      </c>
      <c r="E766" s="2" t="s">
        <v>3</v>
      </c>
      <c r="F766" s="9" t="s">
        <v>15</v>
      </c>
      <c r="G766" s="9" t="str">
        <f t="shared" si="23"/>
        <v>Household</v>
      </c>
      <c r="H766" s="25">
        <v>9.0399999999999991</v>
      </c>
      <c r="I766" s="6">
        <v>17</v>
      </c>
      <c r="J766" s="25">
        <v>10.76</v>
      </c>
      <c r="K766" s="25">
        <v>164.44</v>
      </c>
      <c r="L766" s="9">
        <v>0</v>
      </c>
      <c r="M766" s="39" t="str">
        <f t="shared" si="22"/>
        <v>Normal Transaction</v>
      </c>
    </row>
    <row r="767" spans="1:13" x14ac:dyDescent="0.35">
      <c r="A767" s="27">
        <v>766</v>
      </c>
      <c r="B767" s="2" t="s">
        <v>0</v>
      </c>
      <c r="C767" s="2" t="s">
        <v>14</v>
      </c>
      <c r="D767" s="2" t="s">
        <v>2</v>
      </c>
      <c r="E767" s="2" t="s">
        <v>9</v>
      </c>
      <c r="F767" s="9" t="s">
        <v>4</v>
      </c>
      <c r="G767" s="9" t="str">
        <f t="shared" si="23"/>
        <v>Personal Care</v>
      </c>
      <c r="H767" s="25">
        <v>9.84</v>
      </c>
      <c r="I767" s="6">
        <v>4</v>
      </c>
      <c r="J767" s="25">
        <v>2.76</v>
      </c>
      <c r="K767" s="25">
        <v>42.12</v>
      </c>
      <c r="L767" s="9">
        <v>4</v>
      </c>
      <c r="M767" s="39" t="str">
        <f t="shared" si="22"/>
        <v>Normal Transaction</v>
      </c>
    </row>
    <row r="768" spans="1:13" x14ac:dyDescent="0.35">
      <c r="A768" s="27">
        <v>767</v>
      </c>
      <c r="B768" s="2" t="s">
        <v>0</v>
      </c>
      <c r="C768" s="2" t="s">
        <v>14</v>
      </c>
      <c r="D768" s="2" t="s">
        <v>2</v>
      </c>
      <c r="E768" s="2" t="s">
        <v>3</v>
      </c>
      <c r="F768" s="9" t="s">
        <v>12</v>
      </c>
      <c r="G768" s="9" t="str">
        <f t="shared" si="23"/>
        <v>Fruits</v>
      </c>
      <c r="H768" s="25">
        <v>10.210000000000001</v>
      </c>
      <c r="I768" s="6">
        <v>8</v>
      </c>
      <c r="J768" s="25">
        <v>5.72</v>
      </c>
      <c r="K768" s="25">
        <v>87.4</v>
      </c>
      <c r="L768" s="9">
        <v>8</v>
      </c>
      <c r="M768" s="39" t="str">
        <f t="shared" si="22"/>
        <v>Normal Transaction</v>
      </c>
    </row>
    <row r="769" spans="1:13" x14ac:dyDescent="0.35">
      <c r="A769" s="27">
        <v>768</v>
      </c>
      <c r="B769" s="2" t="s">
        <v>6</v>
      </c>
      <c r="C769" s="2" t="s">
        <v>7</v>
      </c>
      <c r="D769" s="2" t="s">
        <v>8</v>
      </c>
      <c r="E769" s="2" t="s">
        <v>9</v>
      </c>
      <c r="F769" s="9" t="s">
        <v>17</v>
      </c>
      <c r="G769" s="9" t="str">
        <f t="shared" si="23"/>
        <v>Beverages</v>
      </c>
      <c r="H769" s="25">
        <v>10.46</v>
      </c>
      <c r="I769" s="6">
        <v>5</v>
      </c>
      <c r="J769" s="25">
        <v>3.66</v>
      </c>
      <c r="K769" s="25">
        <v>55.96</v>
      </c>
      <c r="L769" s="9">
        <v>0</v>
      </c>
      <c r="M769" s="39" t="str">
        <f t="shared" si="22"/>
        <v>Normal Transaction</v>
      </c>
    </row>
    <row r="770" spans="1:13" x14ac:dyDescent="0.35">
      <c r="A770" s="27">
        <v>769</v>
      </c>
      <c r="B770" s="2" t="s">
        <v>31</v>
      </c>
      <c r="C770" s="2" t="s">
        <v>1</v>
      </c>
      <c r="D770" s="2" t="s">
        <v>8</v>
      </c>
      <c r="E770" s="2" t="s">
        <v>3</v>
      </c>
      <c r="F770" s="9" t="s">
        <v>12</v>
      </c>
      <c r="G770" s="9" t="str">
        <f t="shared" si="23"/>
        <v>Fruits</v>
      </c>
      <c r="H770" s="25">
        <v>15.93</v>
      </c>
      <c r="I770" s="6">
        <v>11</v>
      </c>
      <c r="J770" s="25">
        <v>12.27</v>
      </c>
      <c r="K770" s="25">
        <v>187.5</v>
      </c>
      <c r="L770" s="9">
        <v>0</v>
      </c>
      <c r="M770" s="39" t="str">
        <f t="shared" ref="M770:M833" si="24">IF(K770 &gt; 382.93, "Outlier (Extreme Spend)", "Normal Transaction")</f>
        <v>Normal Transaction</v>
      </c>
    </row>
    <row r="771" spans="1:13" x14ac:dyDescent="0.35">
      <c r="A771" s="27">
        <v>770</v>
      </c>
      <c r="B771" s="2" t="s">
        <v>31</v>
      </c>
      <c r="C771" s="2" t="s">
        <v>1</v>
      </c>
      <c r="D771" s="2" t="s">
        <v>8</v>
      </c>
      <c r="E771" s="2" t="s">
        <v>9</v>
      </c>
      <c r="F771" s="9" t="s">
        <v>10</v>
      </c>
      <c r="G771" s="9" t="str">
        <f t="shared" ref="G771:G834" si="25">_xlfn.XLOOKUP(F771,$Q$2:$Q$6,$R$2:$R$6,"Unknown")</f>
        <v>Stationery</v>
      </c>
      <c r="H771" s="25">
        <v>10.11</v>
      </c>
      <c r="I771" s="6">
        <v>14</v>
      </c>
      <c r="J771" s="25">
        <v>9.91</v>
      </c>
      <c r="K771" s="25">
        <v>151.44999999999999</v>
      </c>
      <c r="L771" s="9">
        <v>0</v>
      </c>
      <c r="M771" s="39" t="str">
        <f t="shared" si="24"/>
        <v>Normal Transaction</v>
      </c>
    </row>
    <row r="772" spans="1:13" x14ac:dyDescent="0.35">
      <c r="A772" s="27">
        <v>771</v>
      </c>
      <c r="B772" s="2" t="s">
        <v>0</v>
      </c>
      <c r="C772" s="2" t="s">
        <v>14</v>
      </c>
      <c r="D772" s="2" t="s">
        <v>8</v>
      </c>
      <c r="E772" s="2" t="s">
        <v>3</v>
      </c>
      <c r="F772" s="9" t="s">
        <v>4</v>
      </c>
      <c r="G772" s="9" t="str">
        <f t="shared" si="25"/>
        <v>Personal Care</v>
      </c>
      <c r="H772" s="25">
        <v>10.97</v>
      </c>
      <c r="I772" s="6">
        <v>18</v>
      </c>
      <c r="J772" s="25">
        <v>13.82</v>
      </c>
      <c r="K772" s="25">
        <v>211.28</v>
      </c>
      <c r="L772" s="9">
        <v>0</v>
      </c>
      <c r="M772" s="39" t="str">
        <f t="shared" si="24"/>
        <v>Normal Transaction</v>
      </c>
    </row>
    <row r="773" spans="1:13" x14ac:dyDescent="0.35">
      <c r="A773" s="27">
        <v>772</v>
      </c>
      <c r="B773" s="2" t="s">
        <v>6</v>
      </c>
      <c r="C773" s="2" t="s">
        <v>7</v>
      </c>
      <c r="D773" s="2" t="s">
        <v>2</v>
      </c>
      <c r="E773" s="2" t="s">
        <v>3</v>
      </c>
      <c r="F773" s="9" t="s">
        <v>12</v>
      </c>
      <c r="G773" s="9" t="str">
        <f t="shared" si="25"/>
        <v>Fruits</v>
      </c>
      <c r="H773" s="25">
        <v>11.4</v>
      </c>
      <c r="I773" s="6">
        <v>1</v>
      </c>
      <c r="J773" s="25">
        <v>0.8</v>
      </c>
      <c r="K773" s="25">
        <v>12.2</v>
      </c>
      <c r="L773" s="9">
        <v>1</v>
      </c>
      <c r="M773" s="39" t="str">
        <f t="shared" si="24"/>
        <v>Normal Transaction</v>
      </c>
    </row>
    <row r="774" spans="1:13" x14ac:dyDescent="0.35">
      <c r="A774" s="27">
        <v>773</v>
      </c>
      <c r="B774" s="2" t="s">
        <v>31</v>
      </c>
      <c r="C774" s="2" t="s">
        <v>1</v>
      </c>
      <c r="D774" s="2" t="s">
        <v>8</v>
      </c>
      <c r="E774" s="2" t="s">
        <v>9</v>
      </c>
      <c r="F774" s="9" t="s">
        <v>17</v>
      </c>
      <c r="G774" s="9" t="str">
        <f t="shared" si="25"/>
        <v>Beverages</v>
      </c>
      <c r="H774" s="25">
        <v>14.63</v>
      </c>
      <c r="I774" s="6">
        <v>11</v>
      </c>
      <c r="J774" s="25">
        <v>11.27</v>
      </c>
      <c r="K774" s="25">
        <v>172.2</v>
      </c>
      <c r="L774" s="9">
        <v>0</v>
      </c>
      <c r="M774" s="39" t="str">
        <f t="shared" si="24"/>
        <v>Normal Transaction</v>
      </c>
    </row>
    <row r="775" spans="1:13" x14ac:dyDescent="0.35">
      <c r="A775" s="27">
        <v>774</v>
      </c>
      <c r="B775" s="2" t="s">
        <v>31</v>
      </c>
      <c r="C775" s="2" t="s">
        <v>1</v>
      </c>
      <c r="D775" s="2" t="s">
        <v>8</v>
      </c>
      <c r="E775" s="2" t="s">
        <v>9</v>
      </c>
      <c r="F775" s="9" t="s">
        <v>12</v>
      </c>
      <c r="G775" s="9" t="str">
        <f t="shared" si="25"/>
        <v>Fruits</v>
      </c>
      <c r="H775" s="25">
        <v>16.48</v>
      </c>
      <c r="I775" s="6">
        <v>5</v>
      </c>
      <c r="J775" s="25">
        <v>5.77</v>
      </c>
      <c r="K775" s="25">
        <v>88.17</v>
      </c>
      <c r="L775" s="9">
        <v>0</v>
      </c>
      <c r="M775" s="39" t="str">
        <f t="shared" si="24"/>
        <v>Normal Transaction</v>
      </c>
    </row>
    <row r="776" spans="1:13" x14ac:dyDescent="0.35">
      <c r="A776" s="27">
        <v>775</v>
      </c>
      <c r="B776" s="2" t="s">
        <v>0</v>
      </c>
      <c r="C776" s="2" t="s">
        <v>14</v>
      </c>
      <c r="D776" s="2" t="s">
        <v>8</v>
      </c>
      <c r="E776" s="2" t="s">
        <v>9</v>
      </c>
      <c r="F776" s="9" t="s">
        <v>15</v>
      </c>
      <c r="G776" s="9" t="str">
        <f t="shared" si="25"/>
        <v>Household</v>
      </c>
      <c r="H776" s="25">
        <v>1.72</v>
      </c>
      <c r="I776" s="6">
        <v>15</v>
      </c>
      <c r="J776" s="25">
        <v>1.81</v>
      </c>
      <c r="K776" s="25">
        <v>27.61</v>
      </c>
      <c r="L776" s="9">
        <v>0</v>
      </c>
      <c r="M776" s="39" t="str">
        <f t="shared" si="24"/>
        <v>Normal Transaction</v>
      </c>
    </row>
    <row r="777" spans="1:13" x14ac:dyDescent="0.35">
      <c r="A777" s="27">
        <v>776</v>
      </c>
      <c r="B777" s="2" t="s">
        <v>0</v>
      </c>
      <c r="C777" s="2" t="s">
        <v>14</v>
      </c>
      <c r="D777" s="2" t="s">
        <v>2</v>
      </c>
      <c r="E777" s="2" t="s">
        <v>3</v>
      </c>
      <c r="F777" s="9" t="s">
        <v>4</v>
      </c>
      <c r="G777" s="9" t="str">
        <f t="shared" si="25"/>
        <v>Personal Care</v>
      </c>
      <c r="H777" s="25">
        <v>17.12</v>
      </c>
      <c r="I777" s="6">
        <v>15</v>
      </c>
      <c r="J777" s="25">
        <v>17.98</v>
      </c>
      <c r="K777" s="25">
        <v>274.77999999999997</v>
      </c>
      <c r="L777" s="9">
        <v>27</v>
      </c>
      <c r="M777" s="39" t="str">
        <f t="shared" si="24"/>
        <v>Normal Transaction</v>
      </c>
    </row>
    <row r="778" spans="1:13" x14ac:dyDescent="0.35">
      <c r="A778" s="27">
        <v>777</v>
      </c>
      <c r="B778" s="2" t="s">
        <v>6</v>
      </c>
      <c r="C778" s="2" t="s">
        <v>7</v>
      </c>
      <c r="D778" s="2" t="s">
        <v>2</v>
      </c>
      <c r="E778" s="2" t="s">
        <v>9</v>
      </c>
      <c r="F778" s="9" t="s">
        <v>15</v>
      </c>
      <c r="G778" s="9" t="str">
        <f t="shared" si="25"/>
        <v>Household</v>
      </c>
      <c r="H778" s="25">
        <v>8.81</v>
      </c>
      <c r="I778" s="6">
        <v>4</v>
      </c>
      <c r="J778" s="25">
        <v>2.4700000000000002</v>
      </c>
      <c r="K778" s="25">
        <v>37.71</v>
      </c>
      <c r="L778" s="9">
        <v>3</v>
      </c>
      <c r="M778" s="39" t="str">
        <f t="shared" si="24"/>
        <v>Normal Transaction</v>
      </c>
    </row>
    <row r="779" spans="1:13" x14ac:dyDescent="0.35">
      <c r="A779" s="27">
        <v>778</v>
      </c>
      <c r="B779" s="2" t="s">
        <v>6</v>
      </c>
      <c r="C779" s="2" t="s">
        <v>7</v>
      </c>
      <c r="D779" s="2" t="s">
        <v>2</v>
      </c>
      <c r="E779" s="2" t="s">
        <v>3</v>
      </c>
      <c r="F779" s="9" t="s">
        <v>17</v>
      </c>
      <c r="G779" s="9" t="str">
        <f t="shared" si="25"/>
        <v>Beverages</v>
      </c>
      <c r="H779" s="25">
        <v>3.11</v>
      </c>
      <c r="I779" s="6">
        <v>4</v>
      </c>
      <c r="J779" s="25">
        <v>0.87</v>
      </c>
      <c r="K779" s="25">
        <v>13.31</v>
      </c>
      <c r="L779" s="9">
        <v>1</v>
      </c>
      <c r="M779" s="39" t="str">
        <f t="shared" si="24"/>
        <v>Normal Transaction</v>
      </c>
    </row>
    <row r="780" spans="1:13" x14ac:dyDescent="0.35">
      <c r="A780" s="27">
        <v>779</v>
      </c>
      <c r="B780" s="2" t="s">
        <v>6</v>
      </c>
      <c r="C780" s="2" t="s">
        <v>7</v>
      </c>
      <c r="D780" s="2" t="s">
        <v>2</v>
      </c>
      <c r="E780" s="2" t="s">
        <v>9</v>
      </c>
      <c r="F780" s="9" t="s">
        <v>17</v>
      </c>
      <c r="G780" s="9" t="str">
        <f t="shared" si="25"/>
        <v>Beverages</v>
      </c>
      <c r="H780" s="25">
        <v>10.57</v>
      </c>
      <c r="I780" s="6">
        <v>20</v>
      </c>
      <c r="J780" s="25">
        <v>14.8</v>
      </c>
      <c r="K780" s="25">
        <v>226.2</v>
      </c>
      <c r="L780" s="9">
        <v>22</v>
      </c>
      <c r="M780" s="39" t="str">
        <f t="shared" si="24"/>
        <v>Normal Transaction</v>
      </c>
    </row>
    <row r="781" spans="1:13" x14ac:dyDescent="0.35">
      <c r="A781" s="27">
        <v>780</v>
      </c>
      <c r="B781" s="2" t="s">
        <v>0</v>
      </c>
      <c r="C781" s="2" t="s">
        <v>14</v>
      </c>
      <c r="D781" s="2" t="s">
        <v>8</v>
      </c>
      <c r="E781" s="2" t="s">
        <v>3</v>
      </c>
      <c r="F781" s="9" t="s">
        <v>4</v>
      </c>
      <c r="G781" s="9" t="str">
        <f t="shared" si="25"/>
        <v>Personal Care</v>
      </c>
      <c r="H781" s="25">
        <v>6.64</v>
      </c>
      <c r="I781" s="6">
        <v>7</v>
      </c>
      <c r="J781" s="25">
        <v>3.25</v>
      </c>
      <c r="K781" s="25">
        <v>49.73</v>
      </c>
      <c r="L781" s="9">
        <v>0</v>
      </c>
      <c r="M781" s="39" t="str">
        <f t="shared" si="24"/>
        <v>Normal Transaction</v>
      </c>
    </row>
    <row r="782" spans="1:13" x14ac:dyDescent="0.35">
      <c r="A782" s="27">
        <v>781</v>
      </c>
      <c r="B782" s="2" t="s">
        <v>0</v>
      </c>
      <c r="C782" s="2" t="s">
        <v>14</v>
      </c>
      <c r="D782" s="2" t="s">
        <v>8</v>
      </c>
      <c r="E782" s="2" t="s">
        <v>3</v>
      </c>
      <c r="F782" s="9" t="s">
        <v>4</v>
      </c>
      <c r="G782" s="9" t="str">
        <f t="shared" si="25"/>
        <v>Personal Care</v>
      </c>
      <c r="H782" s="25">
        <v>17.37</v>
      </c>
      <c r="I782" s="6">
        <v>20</v>
      </c>
      <c r="J782" s="25">
        <v>24.32</v>
      </c>
      <c r="K782" s="25">
        <v>371.72</v>
      </c>
      <c r="L782" s="9">
        <v>0</v>
      </c>
      <c r="M782" s="39" t="str">
        <f t="shared" si="24"/>
        <v>Normal Transaction</v>
      </c>
    </row>
    <row r="783" spans="1:13" x14ac:dyDescent="0.35">
      <c r="A783" s="27">
        <v>782</v>
      </c>
      <c r="B783" s="2" t="s">
        <v>31</v>
      </c>
      <c r="C783" s="2" t="s">
        <v>1</v>
      </c>
      <c r="D783" s="2" t="s">
        <v>2</v>
      </c>
      <c r="E783" s="2" t="s">
        <v>9</v>
      </c>
      <c r="F783" s="9" t="s">
        <v>15</v>
      </c>
      <c r="G783" s="9" t="str">
        <f t="shared" si="25"/>
        <v>Household</v>
      </c>
      <c r="H783" s="25">
        <v>4.9400000000000004</v>
      </c>
      <c r="I783" s="6">
        <v>7</v>
      </c>
      <c r="J783" s="25">
        <v>2.42</v>
      </c>
      <c r="K783" s="25">
        <v>37</v>
      </c>
      <c r="L783" s="9">
        <v>3</v>
      </c>
      <c r="M783" s="39" t="str">
        <f t="shared" si="24"/>
        <v>Normal Transaction</v>
      </c>
    </row>
    <row r="784" spans="1:13" x14ac:dyDescent="0.35">
      <c r="A784" s="27">
        <v>783</v>
      </c>
      <c r="B784" s="2" t="s">
        <v>0</v>
      </c>
      <c r="C784" s="2" t="s">
        <v>14</v>
      </c>
      <c r="D784" s="2" t="s">
        <v>2</v>
      </c>
      <c r="E784" s="2" t="s">
        <v>9</v>
      </c>
      <c r="F784" s="9" t="s">
        <v>15</v>
      </c>
      <c r="G784" s="9" t="str">
        <f t="shared" si="25"/>
        <v>Household</v>
      </c>
      <c r="H784" s="25">
        <v>4.62</v>
      </c>
      <c r="I784" s="6">
        <v>3</v>
      </c>
      <c r="J784" s="25">
        <v>0.97</v>
      </c>
      <c r="K784" s="25">
        <v>14.83</v>
      </c>
      <c r="L784" s="9">
        <v>1</v>
      </c>
      <c r="M784" s="39" t="str">
        <f t="shared" si="24"/>
        <v>Normal Transaction</v>
      </c>
    </row>
    <row r="785" spans="1:13" x14ac:dyDescent="0.35">
      <c r="A785" s="27">
        <v>784</v>
      </c>
      <c r="B785" s="2" t="s">
        <v>6</v>
      </c>
      <c r="C785" s="2" t="s">
        <v>7</v>
      </c>
      <c r="D785" s="2" t="s">
        <v>8</v>
      </c>
      <c r="E785" s="2" t="s">
        <v>3</v>
      </c>
      <c r="F785" s="9" t="s">
        <v>10</v>
      </c>
      <c r="G785" s="9" t="str">
        <f t="shared" si="25"/>
        <v>Stationery</v>
      </c>
      <c r="H785" s="25">
        <v>10.23</v>
      </c>
      <c r="I785" s="6">
        <v>10</v>
      </c>
      <c r="J785" s="25">
        <v>7.16</v>
      </c>
      <c r="K785" s="25">
        <v>109.46</v>
      </c>
      <c r="L785" s="9">
        <v>0</v>
      </c>
      <c r="M785" s="39" t="str">
        <f t="shared" si="24"/>
        <v>Normal Transaction</v>
      </c>
    </row>
    <row r="786" spans="1:13" x14ac:dyDescent="0.35">
      <c r="A786" s="27">
        <v>785</v>
      </c>
      <c r="B786" s="2" t="s">
        <v>31</v>
      </c>
      <c r="C786" s="2" t="s">
        <v>1</v>
      </c>
      <c r="D786" s="2" t="s">
        <v>8</v>
      </c>
      <c r="E786" s="2" t="s">
        <v>9</v>
      </c>
      <c r="F786" s="9" t="s">
        <v>12</v>
      </c>
      <c r="G786" s="9" t="str">
        <f t="shared" si="25"/>
        <v>Fruits</v>
      </c>
      <c r="H786" s="25">
        <v>9.94</v>
      </c>
      <c r="I786" s="6">
        <v>6</v>
      </c>
      <c r="J786" s="25">
        <v>4.17</v>
      </c>
      <c r="K786" s="25">
        <v>63.81</v>
      </c>
      <c r="L786" s="9">
        <v>0</v>
      </c>
      <c r="M786" s="39" t="str">
        <f t="shared" si="24"/>
        <v>Normal Transaction</v>
      </c>
    </row>
    <row r="787" spans="1:13" x14ac:dyDescent="0.35">
      <c r="A787" s="27">
        <v>786</v>
      </c>
      <c r="B787" s="2" t="s">
        <v>0</v>
      </c>
      <c r="C787" s="2" t="s">
        <v>14</v>
      </c>
      <c r="D787" s="2" t="s">
        <v>8</v>
      </c>
      <c r="E787" s="2" t="s">
        <v>3</v>
      </c>
      <c r="F787" s="9" t="s">
        <v>4</v>
      </c>
      <c r="G787" s="9" t="str">
        <f t="shared" si="25"/>
        <v>Personal Care</v>
      </c>
      <c r="H787" s="25">
        <v>5.14</v>
      </c>
      <c r="I787" s="6">
        <v>17</v>
      </c>
      <c r="J787" s="25">
        <v>6.12</v>
      </c>
      <c r="K787" s="25">
        <v>93.5</v>
      </c>
      <c r="L787" s="9">
        <v>0</v>
      </c>
      <c r="M787" s="39" t="str">
        <f t="shared" si="24"/>
        <v>Normal Transaction</v>
      </c>
    </row>
    <row r="788" spans="1:13" x14ac:dyDescent="0.35">
      <c r="A788" s="27">
        <v>787</v>
      </c>
      <c r="B788" s="2" t="s">
        <v>0</v>
      </c>
      <c r="C788" s="2" t="s">
        <v>14</v>
      </c>
      <c r="D788" s="2" t="s">
        <v>8</v>
      </c>
      <c r="E788" s="2" t="s">
        <v>3</v>
      </c>
      <c r="F788" s="9" t="s">
        <v>4</v>
      </c>
      <c r="G788" s="9" t="str">
        <f t="shared" si="25"/>
        <v>Personal Care</v>
      </c>
      <c r="H788" s="25">
        <v>17.649999999999999</v>
      </c>
      <c r="I788" s="6">
        <v>12</v>
      </c>
      <c r="J788" s="25">
        <v>14.83</v>
      </c>
      <c r="K788" s="25">
        <v>226.63</v>
      </c>
      <c r="L788" s="9">
        <v>0</v>
      </c>
      <c r="M788" s="39" t="str">
        <f t="shared" si="24"/>
        <v>Normal Transaction</v>
      </c>
    </row>
    <row r="789" spans="1:13" x14ac:dyDescent="0.35">
      <c r="A789" s="27">
        <v>788</v>
      </c>
      <c r="B789" s="2" t="s">
        <v>0</v>
      </c>
      <c r="C789" s="2" t="s">
        <v>14</v>
      </c>
      <c r="D789" s="2" t="s">
        <v>8</v>
      </c>
      <c r="E789" s="2" t="s">
        <v>9</v>
      </c>
      <c r="F789" s="9" t="s">
        <v>15</v>
      </c>
      <c r="G789" s="9" t="str">
        <f t="shared" si="25"/>
        <v>Household</v>
      </c>
      <c r="H789" s="25">
        <v>10.01</v>
      </c>
      <c r="I789" s="6">
        <v>20</v>
      </c>
      <c r="J789" s="25">
        <v>14.01</v>
      </c>
      <c r="K789" s="25">
        <v>214.21</v>
      </c>
      <c r="L789" s="9">
        <v>0</v>
      </c>
      <c r="M789" s="39" t="str">
        <f t="shared" si="24"/>
        <v>Normal Transaction</v>
      </c>
    </row>
    <row r="790" spans="1:13" x14ac:dyDescent="0.35">
      <c r="A790" s="27">
        <v>789</v>
      </c>
      <c r="B790" s="2" t="s">
        <v>6</v>
      </c>
      <c r="C790" s="2" t="s">
        <v>7</v>
      </c>
      <c r="D790" s="2" t="s">
        <v>2</v>
      </c>
      <c r="E790" s="2" t="s">
        <v>9</v>
      </c>
      <c r="F790" s="9" t="s">
        <v>10</v>
      </c>
      <c r="G790" s="9" t="str">
        <f t="shared" si="25"/>
        <v>Stationery</v>
      </c>
      <c r="H790" s="25">
        <v>1.82</v>
      </c>
      <c r="I790" s="6">
        <v>18</v>
      </c>
      <c r="J790" s="25">
        <v>2.29</v>
      </c>
      <c r="K790" s="25">
        <v>35.049999999999997</v>
      </c>
      <c r="L790" s="9">
        <v>3</v>
      </c>
      <c r="M790" s="39" t="str">
        <f t="shared" si="24"/>
        <v>Normal Transaction</v>
      </c>
    </row>
    <row r="791" spans="1:13" x14ac:dyDescent="0.35">
      <c r="A791" s="27">
        <v>790</v>
      </c>
      <c r="B791" s="2" t="s">
        <v>31</v>
      </c>
      <c r="C791" s="2" t="s">
        <v>1</v>
      </c>
      <c r="D791" s="2" t="s">
        <v>8</v>
      </c>
      <c r="E791" s="2" t="s">
        <v>9</v>
      </c>
      <c r="F791" s="9" t="s">
        <v>4</v>
      </c>
      <c r="G791" s="9" t="str">
        <f t="shared" si="25"/>
        <v>Personal Care</v>
      </c>
      <c r="H791" s="25">
        <v>16.309999999999999</v>
      </c>
      <c r="I791" s="6">
        <v>7</v>
      </c>
      <c r="J791" s="25">
        <v>7.99</v>
      </c>
      <c r="K791" s="25">
        <v>122.16</v>
      </c>
      <c r="L791" s="9">
        <v>0</v>
      </c>
      <c r="M791" s="39" t="str">
        <f t="shared" si="24"/>
        <v>Normal Transaction</v>
      </c>
    </row>
    <row r="792" spans="1:13" x14ac:dyDescent="0.35">
      <c r="A792" s="27">
        <v>791</v>
      </c>
      <c r="B792" s="2" t="s">
        <v>6</v>
      </c>
      <c r="C792" s="2" t="s">
        <v>7</v>
      </c>
      <c r="D792" s="2" t="s">
        <v>2</v>
      </c>
      <c r="E792" s="2" t="s">
        <v>3</v>
      </c>
      <c r="F792" s="9" t="s">
        <v>15</v>
      </c>
      <c r="G792" s="9" t="str">
        <f t="shared" si="25"/>
        <v>Household</v>
      </c>
      <c r="H792" s="25">
        <v>11.87</v>
      </c>
      <c r="I792" s="6">
        <v>2</v>
      </c>
      <c r="J792" s="25">
        <v>1.66</v>
      </c>
      <c r="K792" s="25">
        <v>25.4</v>
      </c>
      <c r="L792" s="9">
        <v>2</v>
      </c>
      <c r="M792" s="39" t="str">
        <f t="shared" si="24"/>
        <v>Normal Transaction</v>
      </c>
    </row>
    <row r="793" spans="1:13" x14ac:dyDescent="0.35">
      <c r="A793" s="27">
        <v>792</v>
      </c>
      <c r="B793" s="2" t="s">
        <v>31</v>
      </c>
      <c r="C793" s="2" t="s">
        <v>1</v>
      </c>
      <c r="D793" s="2" t="s">
        <v>8</v>
      </c>
      <c r="E793" s="2" t="s">
        <v>3</v>
      </c>
      <c r="F793" s="9" t="s">
        <v>15</v>
      </c>
      <c r="G793" s="9" t="str">
        <f t="shared" si="25"/>
        <v>Household</v>
      </c>
      <c r="H793" s="25">
        <v>2.97</v>
      </c>
      <c r="I793" s="6">
        <v>10</v>
      </c>
      <c r="J793" s="25">
        <v>2.08</v>
      </c>
      <c r="K793" s="25">
        <v>31.78</v>
      </c>
      <c r="L793" s="9">
        <v>0</v>
      </c>
      <c r="M793" s="39" t="str">
        <f t="shared" si="24"/>
        <v>Normal Transaction</v>
      </c>
    </row>
    <row r="794" spans="1:13" x14ac:dyDescent="0.35">
      <c r="A794" s="27">
        <v>793</v>
      </c>
      <c r="B794" s="2" t="s">
        <v>6</v>
      </c>
      <c r="C794" s="2" t="s">
        <v>7</v>
      </c>
      <c r="D794" s="2" t="s">
        <v>2</v>
      </c>
      <c r="E794" s="2" t="s">
        <v>3</v>
      </c>
      <c r="F794" s="9" t="s">
        <v>10</v>
      </c>
      <c r="G794" s="9" t="str">
        <f t="shared" si="25"/>
        <v>Stationery</v>
      </c>
      <c r="H794" s="25">
        <v>5.86</v>
      </c>
      <c r="I794" s="6">
        <v>18</v>
      </c>
      <c r="J794" s="25">
        <v>7.38</v>
      </c>
      <c r="K794" s="25">
        <v>112.86</v>
      </c>
      <c r="L794" s="9">
        <v>11</v>
      </c>
      <c r="M794" s="39" t="str">
        <f t="shared" si="24"/>
        <v>Normal Transaction</v>
      </c>
    </row>
    <row r="795" spans="1:13" x14ac:dyDescent="0.35">
      <c r="A795" s="27">
        <v>794</v>
      </c>
      <c r="B795" s="2" t="s">
        <v>31</v>
      </c>
      <c r="C795" s="2" t="s">
        <v>1</v>
      </c>
      <c r="D795" s="2" t="s">
        <v>8</v>
      </c>
      <c r="E795" s="2" t="s">
        <v>9</v>
      </c>
      <c r="F795" s="9" t="s">
        <v>10</v>
      </c>
      <c r="G795" s="9" t="str">
        <f t="shared" si="25"/>
        <v>Stationery</v>
      </c>
      <c r="H795" s="25">
        <v>2.2799999999999998</v>
      </c>
      <c r="I795" s="6">
        <v>16</v>
      </c>
      <c r="J795" s="25">
        <v>2.5499999999999998</v>
      </c>
      <c r="K795" s="25">
        <v>39.03</v>
      </c>
      <c r="L795" s="9">
        <v>0</v>
      </c>
      <c r="M795" s="39" t="str">
        <f t="shared" si="24"/>
        <v>Normal Transaction</v>
      </c>
    </row>
    <row r="796" spans="1:13" x14ac:dyDescent="0.35">
      <c r="A796" s="27">
        <v>795</v>
      </c>
      <c r="B796" s="2" t="s">
        <v>6</v>
      </c>
      <c r="C796" s="2" t="s">
        <v>7</v>
      </c>
      <c r="D796" s="2" t="s">
        <v>2</v>
      </c>
      <c r="E796" s="2" t="s">
        <v>9</v>
      </c>
      <c r="F796" s="9" t="s">
        <v>12</v>
      </c>
      <c r="G796" s="9" t="str">
        <f t="shared" si="25"/>
        <v>Fruits</v>
      </c>
      <c r="H796" s="25">
        <v>5.17</v>
      </c>
      <c r="I796" s="6">
        <v>2</v>
      </c>
      <c r="J796" s="25">
        <v>0.72</v>
      </c>
      <c r="K796" s="25">
        <v>11.06</v>
      </c>
      <c r="L796" s="9">
        <v>1</v>
      </c>
      <c r="M796" s="39" t="str">
        <f t="shared" si="24"/>
        <v>Normal Transaction</v>
      </c>
    </row>
    <row r="797" spans="1:13" x14ac:dyDescent="0.35">
      <c r="A797" s="27">
        <v>796</v>
      </c>
      <c r="B797" s="2" t="s">
        <v>0</v>
      </c>
      <c r="C797" s="2" t="s">
        <v>14</v>
      </c>
      <c r="D797" s="2" t="s">
        <v>2</v>
      </c>
      <c r="E797" s="2" t="s">
        <v>3</v>
      </c>
      <c r="F797" s="9" t="s">
        <v>4</v>
      </c>
      <c r="G797" s="9" t="str">
        <f t="shared" si="25"/>
        <v>Personal Care</v>
      </c>
      <c r="H797" s="25">
        <v>8.75</v>
      </c>
      <c r="I797" s="6">
        <v>6</v>
      </c>
      <c r="J797" s="25">
        <v>3.68</v>
      </c>
      <c r="K797" s="25">
        <v>56.18</v>
      </c>
      <c r="L797" s="9">
        <v>5</v>
      </c>
      <c r="M797" s="39" t="str">
        <f t="shared" si="24"/>
        <v>Normal Transaction</v>
      </c>
    </row>
    <row r="798" spans="1:13" x14ac:dyDescent="0.35">
      <c r="A798" s="27">
        <v>797</v>
      </c>
      <c r="B798" s="2" t="s">
        <v>31</v>
      </c>
      <c r="C798" s="2" t="s">
        <v>1</v>
      </c>
      <c r="D798" s="2" t="s">
        <v>2</v>
      </c>
      <c r="E798" s="2" t="s">
        <v>3</v>
      </c>
      <c r="F798" s="9" t="s">
        <v>17</v>
      </c>
      <c r="G798" s="9" t="str">
        <f t="shared" si="25"/>
        <v>Beverages</v>
      </c>
      <c r="H798" s="25">
        <v>1.87</v>
      </c>
      <c r="I798" s="6">
        <v>18</v>
      </c>
      <c r="J798" s="25">
        <v>2.36</v>
      </c>
      <c r="K798" s="25">
        <v>36.020000000000003</v>
      </c>
      <c r="L798" s="9">
        <v>3</v>
      </c>
      <c r="M798" s="39" t="str">
        <f t="shared" si="24"/>
        <v>Normal Transaction</v>
      </c>
    </row>
    <row r="799" spans="1:13" x14ac:dyDescent="0.35">
      <c r="A799" s="27">
        <v>798</v>
      </c>
      <c r="B799" s="2" t="s">
        <v>31</v>
      </c>
      <c r="C799" s="2" t="s">
        <v>1</v>
      </c>
      <c r="D799" s="2" t="s">
        <v>2</v>
      </c>
      <c r="E799" s="2" t="s">
        <v>9</v>
      </c>
      <c r="F799" s="9" t="s">
        <v>17</v>
      </c>
      <c r="G799" s="9" t="str">
        <f t="shared" si="25"/>
        <v>Beverages</v>
      </c>
      <c r="H799" s="25">
        <v>12.01</v>
      </c>
      <c r="I799" s="6">
        <v>11</v>
      </c>
      <c r="J799" s="25">
        <v>9.25</v>
      </c>
      <c r="K799" s="25">
        <v>141.36000000000001</v>
      </c>
      <c r="L799" s="9">
        <v>14</v>
      </c>
      <c r="M799" s="39" t="str">
        <f t="shared" si="24"/>
        <v>Normal Transaction</v>
      </c>
    </row>
    <row r="800" spans="1:13" x14ac:dyDescent="0.35">
      <c r="A800" s="27">
        <v>799</v>
      </c>
      <c r="B800" s="2" t="s">
        <v>31</v>
      </c>
      <c r="C800" s="2" t="s">
        <v>1</v>
      </c>
      <c r="D800" s="2" t="s">
        <v>8</v>
      </c>
      <c r="E800" s="2" t="s">
        <v>9</v>
      </c>
      <c r="F800" s="9" t="s">
        <v>10</v>
      </c>
      <c r="G800" s="9" t="str">
        <f t="shared" si="25"/>
        <v>Stationery</v>
      </c>
      <c r="H800" s="25">
        <v>4.05</v>
      </c>
      <c r="I800" s="6">
        <v>3</v>
      </c>
      <c r="J800" s="25">
        <v>0.85</v>
      </c>
      <c r="K800" s="25">
        <v>13</v>
      </c>
      <c r="L800" s="9">
        <v>0</v>
      </c>
      <c r="M800" s="39" t="str">
        <f t="shared" si="24"/>
        <v>Normal Transaction</v>
      </c>
    </row>
    <row r="801" spans="1:13" x14ac:dyDescent="0.35">
      <c r="A801" s="27">
        <v>800</v>
      </c>
      <c r="B801" s="2" t="s">
        <v>0</v>
      </c>
      <c r="C801" s="2" t="s">
        <v>14</v>
      </c>
      <c r="D801" s="2" t="s">
        <v>2</v>
      </c>
      <c r="E801" s="2" t="s">
        <v>9</v>
      </c>
      <c r="F801" s="9" t="s">
        <v>15</v>
      </c>
      <c r="G801" s="9" t="str">
        <f t="shared" si="25"/>
        <v>Household</v>
      </c>
      <c r="H801" s="25">
        <v>6.27</v>
      </c>
      <c r="I801" s="6">
        <v>20</v>
      </c>
      <c r="J801" s="25">
        <v>8.7799999999999994</v>
      </c>
      <c r="K801" s="25">
        <v>134.18</v>
      </c>
      <c r="L801" s="9">
        <v>13</v>
      </c>
      <c r="M801" s="39" t="str">
        <f t="shared" si="24"/>
        <v>Normal Transaction</v>
      </c>
    </row>
    <row r="802" spans="1:13" x14ac:dyDescent="0.35">
      <c r="A802" s="27">
        <v>801</v>
      </c>
      <c r="B802" s="2" t="s">
        <v>6</v>
      </c>
      <c r="C802" s="2" t="s">
        <v>7</v>
      </c>
      <c r="D802" s="2" t="s">
        <v>2</v>
      </c>
      <c r="E802" s="2" t="s">
        <v>9</v>
      </c>
      <c r="F802" s="9" t="s">
        <v>12</v>
      </c>
      <c r="G802" s="9" t="str">
        <f t="shared" si="25"/>
        <v>Fruits</v>
      </c>
      <c r="H802" s="25">
        <v>9.58</v>
      </c>
      <c r="I802" s="6">
        <v>14</v>
      </c>
      <c r="J802" s="25">
        <v>9.39</v>
      </c>
      <c r="K802" s="25">
        <v>143.51</v>
      </c>
      <c r="L802" s="9">
        <v>14</v>
      </c>
      <c r="M802" s="39" t="str">
        <f t="shared" si="24"/>
        <v>Normal Transaction</v>
      </c>
    </row>
    <row r="803" spans="1:13" x14ac:dyDescent="0.35">
      <c r="A803" s="27">
        <v>802</v>
      </c>
      <c r="B803" s="2" t="s">
        <v>0</v>
      </c>
      <c r="C803" s="2" t="s">
        <v>14</v>
      </c>
      <c r="D803" s="2" t="s">
        <v>8</v>
      </c>
      <c r="E803" s="2" t="s">
        <v>3</v>
      </c>
      <c r="F803" s="9" t="s">
        <v>15</v>
      </c>
      <c r="G803" s="9" t="str">
        <f t="shared" si="25"/>
        <v>Household</v>
      </c>
      <c r="H803" s="25">
        <v>6.88</v>
      </c>
      <c r="I803" s="6">
        <v>4</v>
      </c>
      <c r="J803" s="25">
        <v>1.93</v>
      </c>
      <c r="K803" s="25">
        <v>29.45</v>
      </c>
      <c r="L803" s="9">
        <v>0</v>
      </c>
      <c r="M803" s="39" t="str">
        <f t="shared" si="24"/>
        <v>Normal Transaction</v>
      </c>
    </row>
    <row r="804" spans="1:13" x14ac:dyDescent="0.35">
      <c r="A804" s="27">
        <v>803</v>
      </c>
      <c r="B804" s="2" t="s">
        <v>0</v>
      </c>
      <c r="C804" s="2" t="s">
        <v>14</v>
      </c>
      <c r="D804" s="2" t="s">
        <v>2</v>
      </c>
      <c r="E804" s="2" t="s">
        <v>9</v>
      </c>
      <c r="F804" s="9" t="s">
        <v>4</v>
      </c>
      <c r="G804" s="9" t="str">
        <f t="shared" si="25"/>
        <v>Personal Care</v>
      </c>
      <c r="H804" s="25">
        <v>1.1000000000000001</v>
      </c>
      <c r="I804" s="6">
        <v>16</v>
      </c>
      <c r="J804" s="25">
        <v>1.23</v>
      </c>
      <c r="K804" s="25">
        <v>18.829999999999998</v>
      </c>
      <c r="L804" s="9">
        <v>1</v>
      </c>
      <c r="M804" s="39" t="str">
        <f t="shared" si="24"/>
        <v>Normal Transaction</v>
      </c>
    </row>
    <row r="805" spans="1:13" x14ac:dyDescent="0.35">
      <c r="A805" s="27">
        <v>804</v>
      </c>
      <c r="B805" s="2" t="s">
        <v>31</v>
      </c>
      <c r="C805" s="2" t="s">
        <v>1</v>
      </c>
      <c r="D805" s="2" t="s">
        <v>2</v>
      </c>
      <c r="E805" s="2" t="s">
        <v>9</v>
      </c>
      <c r="F805" s="9" t="s">
        <v>10</v>
      </c>
      <c r="G805" s="9" t="str">
        <f t="shared" si="25"/>
        <v>Stationery</v>
      </c>
      <c r="H805" s="25">
        <v>4.26</v>
      </c>
      <c r="I805" s="6">
        <v>7</v>
      </c>
      <c r="J805" s="25">
        <v>2.09</v>
      </c>
      <c r="K805" s="25">
        <v>31.91</v>
      </c>
      <c r="L805" s="9">
        <v>3</v>
      </c>
      <c r="M805" s="39" t="str">
        <f t="shared" si="24"/>
        <v>Normal Transaction</v>
      </c>
    </row>
    <row r="806" spans="1:13" x14ac:dyDescent="0.35">
      <c r="A806" s="27">
        <v>805</v>
      </c>
      <c r="B806" s="2" t="s">
        <v>6</v>
      </c>
      <c r="C806" s="2" t="s">
        <v>7</v>
      </c>
      <c r="D806" s="2" t="s">
        <v>8</v>
      </c>
      <c r="E806" s="2" t="s">
        <v>9</v>
      </c>
      <c r="F806" s="9" t="s">
        <v>17</v>
      </c>
      <c r="G806" s="9" t="str">
        <f t="shared" si="25"/>
        <v>Beverages</v>
      </c>
      <c r="H806" s="25">
        <v>11.11</v>
      </c>
      <c r="I806" s="6">
        <v>19</v>
      </c>
      <c r="J806" s="25">
        <v>14.78</v>
      </c>
      <c r="K806" s="25">
        <v>225.87</v>
      </c>
      <c r="L806" s="9">
        <v>0</v>
      </c>
      <c r="M806" s="39" t="str">
        <f t="shared" si="24"/>
        <v>Normal Transaction</v>
      </c>
    </row>
    <row r="807" spans="1:13" x14ac:dyDescent="0.35">
      <c r="A807" s="27">
        <v>806</v>
      </c>
      <c r="B807" s="2" t="s">
        <v>0</v>
      </c>
      <c r="C807" s="2" t="s">
        <v>14</v>
      </c>
      <c r="D807" s="2" t="s">
        <v>8</v>
      </c>
      <c r="E807" s="2" t="s">
        <v>9</v>
      </c>
      <c r="F807" s="9" t="s">
        <v>17</v>
      </c>
      <c r="G807" s="9" t="str">
        <f t="shared" si="25"/>
        <v>Beverages</v>
      </c>
      <c r="H807" s="25">
        <v>7.64</v>
      </c>
      <c r="I807" s="6">
        <v>20</v>
      </c>
      <c r="J807" s="25">
        <v>10.7</v>
      </c>
      <c r="K807" s="25">
        <v>163.5</v>
      </c>
      <c r="L807" s="9">
        <v>0</v>
      </c>
      <c r="M807" s="39" t="str">
        <f t="shared" si="24"/>
        <v>Normal Transaction</v>
      </c>
    </row>
    <row r="808" spans="1:13" x14ac:dyDescent="0.35">
      <c r="A808" s="27">
        <v>807</v>
      </c>
      <c r="B808" s="2" t="s">
        <v>0</v>
      </c>
      <c r="C808" s="2" t="s">
        <v>14</v>
      </c>
      <c r="D808" s="2" t="s">
        <v>8</v>
      </c>
      <c r="E808" s="2" t="s">
        <v>3</v>
      </c>
      <c r="F808" s="9" t="s">
        <v>12</v>
      </c>
      <c r="G808" s="9" t="str">
        <f t="shared" si="25"/>
        <v>Fruits</v>
      </c>
      <c r="H808" s="25">
        <v>9.7799999999999994</v>
      </c>
      <c r="I808" s="6">
        <v>5</v>
      </c>
      <c r="J808" s="25">
        <v>3.42</v>
      </c>
      <c r="K808" s="25">
        <v>52.32</v>
      </c>
      <c r="L808" s="9">
        <v>0</v>
      </c>
      <c r="M808" s="39" t="str">
        <f t="shared" si="24"/>
        <v>Normal Transaction</v>
      </c>
    </row>
    <row r="809" spans="1:13" x14ac:dyDescent="0.35">
      <c r="A809" s="27">
        <v>808</v>
      </c>
      <c r="B809" s="2" t="s">
        <v>0</v>
      </c>
      <c r="C809" s="2" t="s">
        <v>14</v>
      </c>
      <c r="D809" s="2" t="s">
        <v>8</v>
      </c>
      <c r="E809" s="2" t="s">
        <v>3</v>
      </c>
      <c r="F809" s="9" t="s">
        <v>15</v>
      </c>
      <c r="G809" s="9" t="str">
        <f t="shared" si="25"/>
        <v>Household</v>
      </c>
      <c r="H809" s="25">
        <v>8.92</v>
      </c>
      <c r="I809" s="6">
        <v>4</v>
      </c>
      <c r="J809" s="25">
        <v>2.5</v>
      </c>
      <c r="K809" s="25">
        <v>38.18</v>
      </c>
      <c r="L809" s="9">
        <v>0</v>
      </c>
      <c r="M809" s="39" t="str">
        <f t="shared" si="24"/>
        <v>Normal Transaction</v>
      </c>
    </row>
    <row r="810" spans="1:13" x14ac:dyDescent="0.35">
      <c r="A810" s="27">
        <v>809</v>
      </c>
      <c r="B810" s="2" t="s">
        <v>6</v>
      </c>
      <c r="C810" s="2" t="s">
        <v>7</v>
      </c>
      <c r="D810" s="2" t="s">
        <v>2</v>
      </c>
      <c r="E810" s="2" t="s">
        <v>9</v>
      </c>
      <c r="F810" s="9" t="s">
        <v>15</v>
      </c>
      <c r="G810" s="9" t="str">
        <f t="shared" si="25"/>
        <v>Household</v>
      </c>
      <c r="H810" s="25">
        <v>3.82</v>
      </c>
      <c r="I810" s="6">
        <v>4</v>
      </c>
      <c r="J810" s="25">
        <v>1.07</v>
      </c>
      <c r="K810" s="25">
        <v>16.350000000000001</v>
      </c>
      <c r="L810" s="9">
        <v>1</v>
      </c>
      <c r="M810" s="39" t="str">
        <f t="shared" si="24"/>
        <v>Normal Transaction</v>
      </c>
    </row>
    <row r="811" spans="1:13" x14ac:dyDescent="0.35">
      <c r="A811" s="27">
        <v>810</v>
      </c>
      <c r="B811" s="2" t="s">
        <v>31</v>
      </c>
      <c r="C811" s="2" t="s">
        <v>1</v>
      </c>
      <c r="D811" s="2" t="s">
        <v>2</v>
      </c>
      <c r="E811" s="2" t="s">
        <v>9</v>
      </c>
      <c r="F811" s="9" t="s">
        <v>12</v>
      </c>
      <c r="G811" s="9" t="str">
        <f t="shared" si="25"/>
        <v>Fruits</v>
      </c>
      <c r="H811" s="25">
        <v>17.25</v>
      </c>
      <c r="I811" s="6">
        <v>4</v>
      </c>
      <c r="J811" s="25">
        <v>4.83</v>
      </c>
      <c r="K811" s="25">
        <v>73.83</v>
      </c>
      <c r="L811" s="9">
        <v>7</v>
      </c>
      <c r="M811" s="39" t="str">
        <f t="shared" si="24"/>
        <v>Normal Transaction</v>
      </c>
    </row>
    <row r="812" spans="1:13" x14ac:dyDescent="0.35">
      <c r="A812" s="27">
        <v>811</v>
      </c>
      <c r="B812" s="2" t="s">
        <v>0</v>
      </c>
      <c r="C812" s="2" t="s">
        <v>14</v>
      </c>
      <c r="D812" s="2" t="s">
        <v>2</v>
      </c>
      <c r="E812" s="2" t="s">
        <v>9</v>
      </c>
      <c r="F812" s="9" t="s">
        <v>10</v>
      </c>
      <c r="G812" s="9" t="str">
        <f t="shared" si="25"/>
        <v>Stationery</v>
      </c>
      <c r="H812" s="25">
        <v>5.52</v>
      </c>
      <c r="I812" s="6">
        <v>20</v>
      </c>
      <c r="J812" s="25">
        <v>7.73</v>
      </c>
      <c r="K812" s="25">
        <v>118.13</v>
      </c>
      <c r="L812" s="9">
        <v>11</v>
      </c>
      <c r="M812" s="39" t="str">
        <f t="shared" si="24"/>
        <v>Normal Transaction</v>
      </c>
    </row>
    <row r="813" spans="1:13" x14ac:dyDescent="0.35">
      <c r="A813" s="27">
        <v>812</v>
      </c>
      <c r="B813" s="2" t="s">
        <v>6</v>
      </c>
      <c r="C813" s="2" t="s">
        <v>7</v>
      </c>
      <c r="D813" s="2" t="s">
        <v>8</v>
      </c>
      <c r="E813" s="2" t="s">
        <v>9</v>
      </c>
      <c r="F813" s="9" t="s">
        <v>12</v>
      </c>
      <c r="G813" s="9" t="str">
        <f t="shared" si="25"/>
        <v>Fruits</v>
      </c>
      <c r="H813" s="25">
        <v>19.05</v>
      </c>
      <c r="I813" s="6">
        <v>19</v>
      </c>
      <c r="J813" s="25">
        <v>25.34</v>
      </c>
      <c r="K813" s="25">
        <v>387.29</v>
      </c>
      <c r="L813" s="9">
        <v>0</v>
      </c>
      <c r="M813" s="39" t="str">
        <f t="shared" si="24"/>
        <v>Outlier (Extreme Spend)</v>
      </c>
    </row>
    <row r="814" spans="1:13" x14ac:dyDescent="0.35">
      <c r="A814" s="27">
        <v>813</v>
      </c>
      <c r="B814" s="2" t="s">
        <v>6</v>
      </c>
      <c r="C814" s="2" t="s">
        <v>7</v>
      </c>
      <c r="D814" s="2" t="s">
        <v>8</v>
      </c>
      <c r="E814" s="2" t="s">
        <v>3</v>
      </c>
      <c r="F814" s="9" t="s">
        <v>15</v>
      </c>
      <c r="G814" s="9" t="str">
        <f t="shared" si="25"/>
        <v>Household</v>
      </c>
      <c r="H814" s="25">
        <v>20.23</v>
      </c>
      <c r="I814" s="6">
        <v>19</v>
      </c>
      <c r="J814" s="25">
        <v>26.91</v>
      </c>
      <c r="K814" s="25">
        <v>411.28</v>
      </c>
      <c r="L814" s="9">
        <v>0</v>
      </c>
      <c r="M814" s="39" t="str">
        <f t="shared" si="24"/>
        <v>Outlier (Extreme Spend)</v>
      </c>
    </row>
    <row r="815" spans="1:13" x14ac:dyDescent="0.35">
      <c r="A815" s="27">
        <v>814</v>
      </c>
      <c r="B815" s="2" t="s">
        <v>0</v>
      </c>
      <c r="C815" s="2" t="s">
        <v>14</v>
      </c>
      <c r="D815" s="2" t="s">
        <v>8</v>
      </c>
      <c r="E815" s="2" t="s">
        <v>9</v>
      </c>
      <c r="F815" s="9" t="s">
        <v>12</v>
      </c>
      <c r="G815" s="9" t="str">
        <f t="shared" si="25"/>
        <v>Fruits</v>
      </c>
      <c r="H815" s="25">
        <v>6.24</v>
      </c>
      <c r="I815" s="6">
        <v>10</v>
      </c>
      <c r="J815" s="25">
        <v>4.37</v>
      </c>
      <c r="K815" s="25">
        <v>66.77</v>
      </c>
      <c r="L815" s="9">
        <v>0</v>
      </c>
      <c r="M815" s="39" t="str">
        <f t="shared" si="24"/>
        <v>Normal Transaction</v>
      </c>
    </row>
    <row r="816" spans="1:13" x14ac:dyDescent="0.35">
      <c r="A816" s="27">
        <v>815</v>
      </c>
      <c r="B816" s="2" t="s">
        <v>0</v>
      </c>
      <c r="C816" s="2" t="s">
        <v>14</v>
      </c>
      <c r="D816" s="2" t="s">
        <v>2</v>
      </c>
      <c r="E816" s="2" t="s">
        <v>3</v>
      </c>
      <c r="F816" s="9" t="s">
        <v>12</v>
      </c>
      <c r="G816" s="9" t="str">
        <f t="shared" si="25"/>
        <v>Fruits</v>
      </c>
      <c r="H816" s="25">
        <v>15.98</v>
      </c>
      <c r="I816" s="6">
        <v>8</v>
      </c>
      <c r="J816" s="25">
        <v>8.9499999999999993</v>
      </c>
      <c r="K816" s="25">
        <v>136.79</v>
      </c>
      <c r="L816" s="9">
        <v>13</v>
      </c>
      <c r="M816" s="39" t="str">
        <f t="shared" si="24"/>
        <v>Normal Transaction</v>
      </c>
    </row>
    <row r="817" spans="1:13" x14ac:dyDescent="0.35">
      <c r="A817" s="27">
        <v>816</v>
      </c>
      <c r="B817" s="2" t="s">
        <v>6</v>
      </c>
      <c r="C817" s="2" t="s">
        <v>7</v>
      </c>
      <c r="D817" s="2" t="s">
        <v>2</v>
      </c>
      <c r="E817" s="2" t="s">
        <v>9</v>
      </c>
      <c r="F817" s="9" t="s">
        <v>10</v>
      </c>
      <c r="G817" s="9" t="str">
        <f t="shared" si="25"/>
        <v>Stationery</v>
      </c>
      <c r="H817" s="25">
        <v>3.05</v>
      </c>
      <c r="I817" s="6">
        <v>17</v>
      </c>
      <c r="J817" s="25">
        <v>3.63</v>
      </c>
      <c r="K817" s="25">
        <v>55.48</v>
      </c>
      <c r="L817" s="9">
        <v>5</v>
      </c>
      <c r="M817" s="39" t="str">
        <f t="shared" si="24"/>
        <v>Normal Transaction</v>
      </c>
    </row>
    <row r="818" spans="1:13" x14ac:dyDescent="0.35">
      <c r="A818" s="27">
        <v>817</v>
      </c>
      <c r="B818" s="2" t="s">
        <v>0</v>
      </c>
      <c r="C818" s="2" t="s">
        <v>14</v>
      </c>
      <c r="D818" s="2" t="s">
        <v>2</v>
      </c>
      <c r="E818" s="2" t="s">
        <v>9</v>
      </c>
      <c r="F818" s="9" t="s">
        <v>10</v>
      </c>
      <c r="G818" s="9" t="str">
        <f t="shared" si="25"/>
        <v>Stationery</v>
      </c>
      <c r="H818" s="25">
        <v>14.43</v>
      </c>
      <c r="I818" s="6">
        <v>18</v>
      </c>
      <c r="J818" s="25">
        <v>18.18</v>
      </c>
      <c r="K818" s="25">
        <v>277.92</v>
      </c>
      <c r="L818" s="9">
        <v>27</v>
      </c>
      <c r="M818" s="39" t="str">
        <f t="shared" si="24"/>
        <v>Normal Transaction</v>
      </c>
    </row>
    <row r="819" spans="1:13" x14ac:dyDescent="0.35">
      <c r="A819" s="27">
        <v>818</v>
      </c>
      <c r="B819" s="2" t="s">
        <v>6</v>
      </c>
      <c r="C819" s="2" t="s">
        <v>7</v>
      </c>
      <c r="D819" s="2" t="s">
        <v>8</v>
      </c>
      <c r="E819" s="2" t="s">
        <v>3</v>
      </c>
      <c r="F819" s="9" t="s">
        <v>17</v>
      </c>
      <c r="G819" s="9" t="str">
        <f t="shared" si="25"/>
        <v>Beverages</v>
      </c>
      <c r="H819" s="25">
        <v>9</v>
      </c>
      <c r="I819" s="6">
        <v>1</v>
      </c>
      <c r="J819" s="25">
        <v>0.63</v>
      </c>
      <c r="K819" s="25">
        <v>9.6300000000000008</v>
      </c>
      <c r="L819" s="9">
        <v>0</v>
      </c>
      <c r="M819" s="39" t="str">
        <f t="shared" si="24"/>
        <v>Normal Transaction</v>
      </c>
    </row>
    <row r="820" spans="1:13" x14ac:dyDescent="0.35">
      <c r="A820" s="27">
        <v>819</v>
      </c>
      <c r="B820" s="2" t="s">
        <v>6</v>
      </c>
      <c r="C820" s="2" t="s">
        <v>7</v>
      </c>
      <c r="D820" s="2" t="s">
        <v>2</v>
      </c>
      <c r="E820" s="2" t="s">
        <v>9</v>
      </c>
      <c r="F820" s="9" t="s">
        <v>10</v>
      </c>
      <c r="G820" s="9" t="str">
        <f t="shared" si="25"/>
        <v>Stationery</v>
      </c>
      <c r="H820" s="25">
        <v>3.96</v>
      </c>
      <c r="I820" s="6">
        <v>20</v>
      </c>
      <c r="J820" s="25">
        <v>5.54</v>
      </c>
      <c r="K820" s="25">
        <v>84.74</v>
      </c>
      <c r="L820" s="9">
        <v>8</v>
      </c>
      <c r="M820" s="39" t="str">
        <f t="shared" si="24"/>
        <v>Normal Transaction</v>
      </c>
    </row>
    <row r="821" spans="1:13" x14ac:dyDescent="0.35">
      <c r="A821" s="27">
        <v>820</v>
      </c>
      <c r="B821" s="2" t="s">
        <v>31</v>
      </c>
      <c r="C821" s="2" t="s">
        <v>1</v>
      </c>
      <c r="D821" s="2" t="s">
        <v>2</v>
      </c>
      <c r="E821" s="2" t="s">
        <v>9</v>
      </c>
      <c r="F821" s="9" t="s">
        <v>4</v>
      </c>
      <c r="G821" s="9" t="str">
        <f t="shared" si="25"/>
        <v>Personal Care</v>
      </c>
      <c r="H821" s="25">
        <v>12.87</v>
      </c>
      <c r="I821" s="6">
        <v>7</v>
      </c>
      <c r="J821" s="25">
        <v>6.31</v>
      </c>
      <c r="K821" s="25">
        <v>96.4</v>
      </c>
      <c r="L821" s="9">
        <v>9</v>
      </c>
      <c r="M821" s="39" t="str">
        <f t="shared" si="24"/>
        <v>Normal Transaction</v>
      </c>
    </row>
    <row r="822" spans="1:13" x14ac:dyDescent="0.35">
      <c r="A822" s="27">
        <v>821</v>
      </c>
      <c r="B822" s="2" t="s">
        <v>6</v>
      </c>
      <c r="C822" s="2" t="s">
        <v>7</v>
      </c>
      <c r="D822" s="2" t="s">
        <v>2</v>
      </c>
      <c r="E822" s="2" t="s">
        <v>9</v>
      </c>
      <c r="F822" s="9" t="s">
        <v>15</v>
      </c>
      <c r="G822" s="9" t="str">
        <f t="shared" si="25"/>
        <v>Household</v>
      </c>
      <c r="H822" s="25">
        <v>20.21</v>
      </c>
      <c r="I822" s="6">
        <v>14</v>
      </c>
      <c r="J822" s="25">
        <v>19.809999999999999</v>
      </c>
      <c r="K822" s="25">
        <v>302.75</v>
      </c>
      <c r="L822" s="9">
        <v>30</v>
      </c>
      <c r="M822" s="39" t="str">
        <f t="shared" si="24"/>
        <v>Normal Transaction</v>
      </c>
    </row>
    <row r="823" spans="1:13" x14ac:dyDescent="0.35">
      <c r="A823" s="27">
        <v>822</v>
      </c>
      <c r="B823" s="2" t="s">
        <v>31</v>
      </c>
      <c r="C823" s="2" t="s">
        <v>1</v>
      </c>
      <c r="D823" s="2" t="s">
        <v>2</v>
      </c>
      <c r="E823" s="2" t="s">
        <v>9</v>
      </c>
      <c r="F823" s="9" t="s">
        <v>4</v>
      </c>
      <c r="G823" s="9" t="str">
        <f t="shared" si="25"/>
        <v>Personal Care</v>
      </c>
      <c r="H823" s="25">
        <v>6.1</v>
      </c>
      <c r="I823" s="6">
        <v>18</v>
      </c>
      <c r="J823" s="25">
        <v>7.69</v>
      </c>
      <c r="K823" s="25">
        <v>117.49</v>
      </c>
      <c r="L823" s="9">
        <v>11</v>
      </c>
      <c r="M823" s="39" t="str">
        <f t="shared" si="24"/>
        <v>Normal Transaction</v>
      </c>
    </row>
    <row r="824" spans="1:13" x14ac:dyDescent="0.35">
      <c r="A824" s="27">
        <v>823</v>
      </c>
      <c r="B824" s="2" t="s">
        <v>6</v>
      </c>
      <c r="C824" s="2" t="s">
        <v>7</v>
      </c>
      <c r="D824" s="2" t="s">
        <v>2</v>
      </c>
      <c r="E824" s="2" t="s">
        <v>9</v>
      </c>
      <c r="F824" s="9" t="s">
        <v>15</v>
      </c>
      <c r="G824" s="9" t="str">
        <f t="shared" si="25"/>
        <v>Household</v>
      </c>
      <c r="H824" s="25">
        <v>18.97</v>
      </c>
      <c r="I824" s="6">
        <v>3</v>
      </c>
      <c r="J824" s="25">
        <v>3.98</v>
      </c>
      <c r="K824" s="25">
        <v>60.89</v>
      </c>
      <c r="L824" s="9">
        <v>6</v>
      </c>
      <c r="M824" s="39" t="str">
        <f t="shared" si="24"/>
        <v>Normal Transaction</v>
      </c>
    </row>
    <row r="825" spans="1:13" x14ac:dyDescent="0.35">
      <c r="A825" s="27">
        <v>824</v>
      </c>
      <c r="B825" s="2" t="s">
        <v>0</v>
      </c>
      <c r="C825" s="2" t="s">
        <v>14</v>
      </c>
      <c r="D825" s="2" t="s">
        <v>8</v>
      </c>
      <c r="E825" s="2" t="s">
        <v>9</v>
      </c>
      <c r="F825" s="9" t="s">
        <v>15</v>
      </c>
      <c r="G825" s="9" t="str">
        <f t="shared" si="25"/>
        <v>Household</v>
      </c>
      <c r="H825" s="25">
        <v>20.64</v>
      </c>
      <c r="I825" s="6">
        <v>8</v>
      </c>
      <c r="J825" s="25">
        <v>11.56</v>
      </c>
      <c r="K825" s="25">
        <v>176.68</v>
      </c>
      <c r="L825" s="9">
        <v>0</v>
      </c>
      <c r="M825" s="39" t="str">
        <f t="shared" si="24"/>
        <v>Normal Transaction</v>
      </c>
    </row>
    <row r="826" spans="1:13" x14ac:dyDescent="0.35">
      <c r="A826" s="27">
        <v>825</v>
      </c>
      <c r="B826" s="2" t="s">
        <v>6</v>
      </c>
      <c r="C826" s="2" t="s">
        <v>7</v>
      </c>
      <c r="D826" s="2" t="s">
        <v>2</v>
      </c>
      <c r="E826" s="2" t="s">
        <v>3</v>
      </c>
      <c r="F826" s="9" t="s">
        <v>4</v>
      </c>
      <c r="G826" s="9" t="str">
        <f t="shared" si="25"/>
        <v>Personal Care</v>
      </c>
      <c r="H826" s="25">
        <v>14.76</v>
      </c>
      <c r="I826" s="6">
        <v>15</v>
      </c>
      <c r="J826" s="25">
        <v>15.5</v>
      </c>
      <c r="K826" s="25">
        <v>236.9</v>
      </c>
      <c r="L826" s="9">
        <v>23</v>
      </c>
      <c r="M826" s="39" t="str">
        <f t="shared" si="24"/>
        <v>Normal Transaction</v>
      </c>
    </row>
    <row r="827" spans="1:13" x14ac:dyDescent="0.35">
      <c r="A827" s="27">
        <v>826</v>
      </c>
      <c r="B827" s="2" t="s">
        <v>6</v>
      </c>
      <c r="C827" s="2" t="s">
        <v>7</v>
      </c>
      <c r="D827" s="2" t="s">
        <v>8</v>
      </c>
      <c r="E827" s="2" t="s">
        <v>3</v>
      </c>
      <c r="F827" s="9" t="s">
        <v>12</v>
      </c>
      <c r="G827" s="9" t="str">
        <f t="shared" si="25"/>
        <v>Fruits</v>
      </c>
      <c r="H827" s="25">
        <v>16.21</v>
      </c>
      <c r="I827" s="6">
        <v>15</v>
      </c>
      <c r="J827" s="25">
        <v>17.02</v>
      </c>
      <c r="K827" s="25">
        <v>260.17</v>
      </c>
      <c r="L827" s="9">
        <v>0</v>
      </c>
      <c r="M827" s="39" t="str">
        <f t="shared" si="24"/>
        <v>Normal Transaction</v>
      </c>
    </row>
    <row r="828" spans="1:13" x14ac:dyDescent="0.35">
      <c r="A828" s="27">
        <v>827</v>
      </c>
      <c r="B828" s="2" t="s">
        <v>0</v>
      </c>
      <c r="C828" s="2" t="s">
        <v>14</v>
      </c>
      <c r="D828" s="2" t="s">
        <v>8</v>
      </c>
      <c r="E828" s="2" t="s">
        <v>3</v>
      </c>
      <c r="F828" s="9" t="s">
        <v>17</v>
      </c>
      <c r="G828" s="9" t="str">
        <f t="shared" si="25"/>
        <v>Beverages</v>
      </c>
      <c r="H828" s="25">
        <v>11.91</v>
      </c>
      <c r="I828" s="6">
        <v>13</v>
      </c>
      <c r="J828" s="25">
        <v>10.84</v>
      </c>
      <c r="K828" s="25">
        <v>165.67</v>
      </c>
      <c r="L828" s="9">
        <v>0</v>
      </c>
      <c r="M828" s="39" t="str">
        <f t="shared" si="24"/>
        <v>Normal Transaction</v>
      </c>
    </row>
    <row r="829" spans="1:13" x14ac:dyDescent="0.35">
      <c r="A829" s="27">
        <v>828</v>
      </c>
      <c r="B829" s="2" t="s">
        <v>31</v>
      </c>
      <c r="C829" s="2" t="s">
        <v>1</v>
      </c>
      <c r="D829" s="2" t="s">
        <v>2</v>
      </c>
      <c r="E829" s="2" t="s">
        <v>9</v>
      </c>
      <c r="F829" s="9" t="s">
        <v>10</v>
      </c>
      <c r="G829" s="9" t="str">
        <f t="shared" si="25"/>
        <v>Stationery</v>
      </c>
      <c r="H829" s="25">
        <v>10.34</v>
      </c>
      <c r="I829" s="6">
        <v>4</v>
      </c>
      <c r="J829" s="25">
        <v>2.9</v>
      </c>
      <c r="K829" s="25">
        <v>44.26</v>
      </c>
      <c r="L829" s="9">
        <v>4</v>
      </c>
      <c r="M829" s="39" t="str">
        <f t="shared" si="24"/>
        <v>Normal Transaction</v>
      </c>
    </row>
    <row r="830" spans="1:13" x14ac:dyDescent="0.35">
      <c r="A830" s="27">
        <v>829</v>
      </c>
      <c r="B830" s="2" t="s">
        <v>6</v>
      </c>
      <c r="C830" s="2" t="s">
        <v>7</v>
      </c>
      <c r="D830" s="2" t="s">
        <v>8</v>
      </c>
      <c r="E830" s="2" t="s">
        <v>3</v>
      </c>
      <c r="F830" s="9" t="s">
        <v>10</v>
      </c>
      <c r="G830" s="9" t="str">
        <f t="shared" si="25"/>
        <v>Stationery</v>
      </c>
      <c r="H830" s="25">
        <v>1.33</v>
      </c>
      <c r="I830" s="6">
        <v>17</v>
      </c>
      <c r="J830" s="25">
        <v>1.58</v>
      </c>
      <c r="K830" s="25">
        <v>24.19</v>
      </c>
      <c r="L830" s="9">
        <v>0</v>
      </c>
      <c r="M830" s="39" t="str">
        <f t="shared" si="24"/>
        <v>Normal Transaction</v>
      </c>
    </row>
    <row r="831" spans="1:13" x14ac:dyDescent="0.35">
      <c r="A831" s="27">
        <v>830</v>
      </c>
      <c r="B831" s="2" t="s">
        <v>31</v>
      </c>
      <c r="C831" s="2" t="s">
        <v>1</v>
      </c>
      <c r="D831" s="2" t="s">
        <v>2</v>
      </c>
      <c r="E831" s="2" t="s">
        <v>3</v>
      </c>
      <c r="F831" s="9" t="s">
        <v>12</v>
      </c>
      <c r="G831" s="9" t="str">
        <f t="shared" si="25"/>
        <v>Fruits</v>
      </c>
      <c r="H831" s="25">
        <v>12.95</v>
      </c>
      <c r="I831" s="6">
        <v>14</v>
      </c>
      <c r="J831" s="25">
        <v>12.69</v>
      </c>
      <c r="K831" s="25">
        <v>193.99</v>
      </c>
      <c r="L831" s="9">
        <v>19</v>
      </c>
      <c r="M831" s="39" t="str">
        <f t="shared" si="24"/>
        <v>Normal Transaction</v>
      </c>
    </row>
    <row r="832" spans="1:13" x14ac:dyDescent="0.35">
      <c r="A832" s="27">
        <v>831</v>
      </c>
      <c r="B832" s="2" t="s">
        <v>6</v>
      </c>
      <c r="C832" s="2" t="s">
        <v>7</v>
      </c>
      <c r="D832" s="2" t="s">
        <v>8</v>
      </c>
      <c r="E832" s="2" t="s">
        <v>9</v>
      </c>
      <c r="F832" s="9" t="s">
        <v>10</v>
      </c>
      <c r="G832" s="9" t="str">
        <f t="shared" si="25"/>
        <v>Stationery</v>
      </c>
      <c r="H832" s="25">
        <v>9.07</v>
      </c>
      <c r="I832" s="6">
        <v>17</v>
      </c>
      <c r="J832" s="25">
        <v>10.79</v>
      </c>
      <c r="K832" s="25">
        <v>164.98</v>
      </c>
      <c r="L832" s="9">
        <v>0</v>
      </c>
      <c r="M832" s="39" t="str">
        <f t="shared" si="24"/>
        <v>Normal Transaction</v>
      </c>
    </row>
    <row r="833" spans="1:13" x14ac:dyDescent="0.35">
      <c r="A833" s="27">
        <v>832</v>
      </c>
      <c r="B833" s="2" t="s">
        <v>0</v>
      </c>
      <c r="C833" s="2" t="s">
        <v>14</v>
      </c>
      <c r="D833" s="2" t="s">
        <v>2</v>
      </c>
      <c r="E833" s="2" t="s">
        <v>9</v>
      </c>
      <c r="F833" s="9" t="s">
        <v>12</v>
      </c>
      <c r="G833" s="9" t="str">
        <f t="shared" si="25"/>
        <v>Fruits</v>
      </c>
      <c r="H833" s="25">
        <v>7.59</v>
      </c>
      <c r="I833" s="6">
        <v>10</v>
      </c>
      <c r="J833" s="25">
        <v>5.31</v>
      </c>
      <c r="K833" s="25">
        <v>81.209999999999994</v>
      </c>
      <c r="L833" s="9">
        <v>8</v>
      </c>
      <c r="M833" s="39" t="str">
        <f t="shared" si="24"/>
        <v>Normal Transaction</v>
      </c>
    </row>
    <row r="834" spans="1:13" x14ac:dyDescent="0.35">
      <c r="A834" s="27">
        <v>833</v>
      </c>
      <c r="B834" s="2" t="s">
        <v>31</v>
      </c>
      <c r="C834" s="2" t="s">
        <v>1</v>
      </c>
      <c r="D834" s="2" t="s">
        <v>2</v>
      </c>
      <c r="E834" s="2" t="s">
        <v>3</v>
      </c>
      <c r="F834" s="9" t="s">
        <v>17</v>
      </c>
      <c r="G834" s="9" t="str">
        <f t="shared" si="25"/>
        <v>Beverages</v>
      </c>
      <c r="H834" s="25">
        <v>18.920000000000002</v>
      </c>
      <c r="I834" s="6">
        <v>5</v>
      </c>
      <c r="J834" s="25">
        <v>6.62</v>
      </c>
      <c r="K834" s="25">
        <v>101.22</v>
      </c>
      <c r="L834" s="9">
        <v>10</v>
      </c>
      <c r="M834" s="39" t="str">
        <f t="shared" ref="M834:M897" si="26">IF(K834 &gt; 382.93, "Outlier (Extreme Spend)", "Normal Transaction")</f>
        <v>Normal Transaction</v>
      </c>
    </row>
    <row r="835" spans="1:13" x14ac:dyDescent="0.35">
      <c r="A835" s="27">
        <v>834</v>
      </c>
      <c r="B835" s="2" t="s">
        <v>0</v>
      </c>
      <c r="C835" s="2" t="s">
        <v>14</v>
      </c>
      <c r="D835" s="2" t="s">
        <v>2</v>
      </c>
      <c r="E835" s="2" t="s">
        <v>3</v>
      </c>
      <c r="F835" s="9" t="s">
        <v>17</v>
      </c>
      <c r="G835" s="9" t="str">
        <f t="shared" ref="G835:G898" si="27">_xlfn.XLOOKUP(F835,$Q$2:$Q$6,$R$2:$R$6,"Unknown")</f>
        <v>Beverages</v>
      </c>
      <c r="H835" s="25">
        <v>20.61</v>
      </c>
      <c r="I835" s="6">
        <v>12</v>
      </c>
      <c r="J835" s="25">
        <v>17.309999999999999</v>
      </c>
      <c r="K835" s="25">
        <v>264.63</v>
      </c>
      <c r="L835" s="9">
        <v>26</v>
      </c>
      <c r="M835" s="39" t="str">
        <f t="shared" si="26"/>
        <v>Normal Transaction</v>
      </c>
    </row>
    <row r="836" spans="1:13" x14ac:dyDescent="0.35">
      <c r="A836" s="27">
        <v>835</v>
      </c>
      <c r="B836" s="2" t="s">
        <v>6</v>
      </c>
      <c r="C836" s="2" t="s">
        <v>7</v>
      </c>
      <c r="D836" s="2" t="s">
        <v>2</v>
      </c>
      <c r="E836" s="2" t="s">
        <v>9</v>
      </c>
      <c r="F836" s="9" t="s">
        <v>10</v>
      </c>
      <c r="G836" s="9" t="str">
        <f t="shared" si="27"/>
        <v>Stationery</v>
      </c>
      <c r="H836" s="25">
        <v>18.97</v>
      </c>
      <c r="I836" s="6">
        <v>7</v>
      </c>
      <c r="J836" s="25">
        <v>9.3000000000000007</v>
      </c>
      <c r="K836" s="25">
        <v>142.09</v>
      </c>
      <c r="L836" s="9">
        <v>14</v>
      </c>
      <c r="M836" s="39" t="str">
        <f t="shared" si="26"/>
        <v>Normal Transaction</v>
      </c>
    </row>
    <row r="837" spans="1:13" x14ac:dyDescent="0.35">
      <c r="A837" s="27">
        <v>836</v>
      </c>
      <c r="B837" s="2" t="s">
        <v>31</v>
      </c>
      <c r="C837" s="2" t="s">
        <v>1</v>
      </c>
      <c r="D837" s="2" t="s">
        <v>2</v>
      </c>
      <c r="E837" s="2" t="s">
        <v>3</v>
      </c>
      <c r="F837" s="9" t="s">
        <v>15</v>
      </c>
      <c r="G837" s="9" t="str">
        <f t="shared" si="27"/>
        <v>Household</v>
      </c>
      <c r="H837" s="25">
        <v>17.34</v>
      </c>
      <c r="I837" s="6">
        <v>18</v>
      </c>
      <c r="J837" s="25">
        <v>21.85</v>
      </c>
      <c r="K837" s="25">
        <v>333.97</v>
      </c>
      <c r="L837" s="9">
        <v>33</v>
      </c>
      <c r="M837" s="39" t="str">
        <f t="shared" si="26"/>
        <v>Normal Transaction</v>
      </c>
    </row>
    <row r="838" spans="1:13" x14ac:dyDescent="0.35">
      <c r="A838" s="27">
        <v>837</v>
      </c>
      <c r="B838" s="2" t="s">
        <v>0</v>
      </c>
      <c r="C838" s="2" t="s">
        <v>14</v>
      </c>
      <c r="D838" s="2" t="s">
        <v>2</v>
      </c>
      <c r="E838" s="2" t="s">
        <v>3</v>
      </c>
      <c r="F838" s="9" t="s">
        <v>4</v>
      </c>
      <c r="G838" s="9" t="str">
        <f t="shared" si="27"/>
        <v>Personal Care</v>
      </c>
      <c r="H838" s="25">
        <v>10.78</v>
      </c>
      <c r="I838" s="6">
        <v>17</v>
      </c>
      <c r="J838" s="25">
        <v>12.83</v>
      </c>
      <c r="K838" s="25">
        <v>196.09</v>
      </c>
      <c r="L838" s="9">
        <v>19</v>
      </c>
      <c r="M838" s="39" t="str">
        <f t="shared" si="26"/>
        <v>Normal Transaction</v>
      </c>
    </row>
    <row r="839" spans="1:13" x14ac:dyDescent="0.35">
      <c r="A839" s="27">
        <v>838</v>
      </c>
      <c r="B839" s="2" t="s">
        <v>0</v>
      </c>
      <c r="C839" s="2" t="s">
        <v>14</v>
      </c>
      <c r="D839" s="2" t="s">
        <v>8</v>
      </c>
      <c r="E839" s="2" t="s">
        <v>9</v>
      </c>
      <c r="F839" s="9" t="s">
        <v>4</v>
      </c>
      <c r="G839" s="9" t="str">
        <f t="shared" si="27"/>
        <v>Personal Care</v>
      </c>
      <c r="H839" s="25">
        <v>11.41</v>
      </c>
      <c r="I839" s="6">
        <v>20</v>
      </c>
      <c r="J839" s="25">
        <v>15.97</v>
      </c>
      <c r="K839" s="25">
        <v>244.17</v>
      </c>
      <c r="L839" s="9">
        <v>0</v>
      </c>
      <c r="M839" s="39" t="str">
        <f t="shared" si="26"/>
        <v>Normal Transaction</v>
      </c>
    </row>
    <row r="840" spans="1:13" x14ac:dyDescent="0.35">
      <c r="A840" s="27">
        <v>839</v>
      </c>
      <c r="B840" s="2" t="s">
        <v>31</v>
      </c>
      <c r="C840" s="2" t="s">
        <v>1</v>
      </c>
      <c r="D840" s="2" t="s">
        <v>2</v>
      </c>
      <c r="E840" s="2" t="s">
        <v>3</v>
      </c>
      <c r="F840" s="9" t="s">
        <v>4</v>
      </c>
      <c r="G840" s="9" t="str">
        <f t="shared" si="27"/>
        <v>Personal Care</v>
      </c>
      <c r="H840" s="25">
        <v>14.63</v>
      </c>
      <c r="I840" s="6">
        <v>19</v>
      </c>
      <c r="J840" s="25">
        <v>19.46</v>
      </c>
      <c r="K840" s="25">
        <v>297.43</v>
      </c>
      <c r="L840" s="9">
        <v>29</v>
      </c>
      <c r="M840" s="39" t="str">
        <f t="shared" si="26"/>
        <v>Normal Transaction</v>
      </c>
    </row>
    <row r="841" spans="1:13" x14ac:dyDescent="0.35">
      <c r="A841" s="27">
        <v>840</v>
      </c>
      <c r="B841" s="2" t="s">
        <v>6</v>
      </c>
      <c r="C841" s="2" t="s">
        <v>7</v>
      </c>
      <c r="D841" s="2" t="s">
        <v>8</v>
      </c>
      <c r="E841" s="2" t="s">
        <v>9</v>
      </c>
      <c r="F841" s="9" t="s">
        <v>4</v>
      </c>
      <c r="G841" s="9" t="str">
        <f t="shared" si="27"/>
        <v>Personal Care</v>
      </c>
      <c r="H841" s="25">
        <v>20.51</v>
      </c>
      <c r="I841" s="6">
        <v>1</v>
      </c>
      <c r="J841" s="25">
        <v>1.44</v>
      </c>
      <c r="K841" s="25">
        <v>21.95</v>
      </c>
      <c r="L841" s="9">
        <v>0</v>
      </c>
      <c r="M841" s="39" t="str">
        <f t="shared" si="26"/>
        <v>Normal Transaction</v>
      </c>
    </row>
    <row r="842" spans="1:13" x14ac:dyDescent="0.35">
      <c r="A842" s="27">
        <v>841</v>
      </c>
      <c r="B842" s="2" t="s">
        <v>0</v>
      </c>
      <c r="C842" s="2" t="s">
        <v>14</v>
      </c>
      <c r="D842" s="2" t="s">
        <v>8</v>
      </c>
      <c r="E842" s="2" t="s">
        <v>9</v>
      </c>
      <c r="F842" s="9" t="s">
        <v>12</v>
      </c>
      <c r="G842" s="9" t="str">
        <f t="shared" si="27"/>
        <v>Fruits</v>
      </c>
      <c r="H842" s="25">
        <v>12.4</v>
      </c>
      <c r="I842" s="6">
        <v>7</v>
      </c>
      <c r="J842" s="25">
        <v>6.08</v>
      </c>
      <c r="K842" s="25">
        <v>92.88</v>
      </c>
      <c r="L842" s="9">
        <v>0</v>
      </c>
      <c r="M842" s="39" t="str">
        <f t="shared" si="26"/>
        <v>Normal Transaction</v>
      </c>
    </row>
    <row r="843" spans="1:13" x14ac:dyDescent="0.35">
      <c r="A843" s="27">
        <v>842</v>
      </c>
      <c r="B843" s="2" t="s">
        <v>0</v>
      </c>
      <c r="C843" s="2" t="s">
        <v>14</v>
      </c>
      <c r="D843" s="2" t="s">
        <v>2</v>
      </c>
      <c r="E843" s="2" t="s">
        <v>3</v>
      </c>
      <c r="F843" s="9" t="s">
        <v>12</v>
      </c>
      <c r="G843" s="9" t="str">
        <f t="shared" si="27"/>
        <v>Fruits</v>
      </c>
      <c r="H843" s="25">
        <v>19.399999999999999</v>
      </c>
      <c r="I843" s="6">
        <v>10</v>
      </c>
      <c r="J843" s="25">
        <v>13.58</v>
      </c>
      <c r="K843" s="25">
        <v>207.58</v>
      </c>
      <c r="L843" s="9">
        <v>20</v>
      </c>
      <c r="M843" s="39" t="str">
        <f t="shared" si="26"/>
        <v>Normal Transaction</v>
      </c>
    </row>
    <row r="844" spans="1:13" x14ac:dyDescent="0.35">
      <c r="A844" s="27">
        <v>843</v>
      </c>
      <c r="B844" s="2" t="s">
        <v>31</v>
      </c>
      <c r="C844" s="2" t="s">
        <v>1</v>
      </c>
      <c r="D844" s="2" t="s">
        <v>2</v>
      </c>
      <c r="E844" s="2" t="s">
        <v>3</v>
      </c>
      <c r="F844" s="9" t="s">
        <v>10</v>
      </c>
      <c r="G844" s="9" t="str">
        <f t="shared" si="27"/>
        <v>Stationery</v>
      </c>
      <c r="H844" s="25">
        <v>9.01</v>
      </c>
      <c r="I844" s="6">
        <v>7</v>
      </c>
      <c r="J844" s="25">
        <v>4.41</v>
      </c>
      <c r="K844" s="25">
        <v>67.48</v>
      </c>
      <c r="L844" s="9">
        <v>6</v>
      </c>
      <c r="M844" s="39" t="str">
        <f t="shared" si="26"/>
        <v>Normal Transaction</v>
      </c>
    </row>
    <row r="845" spans="1:13" x14ac:dyDescent="0.35">
      <c r="A845" s="27">
        <v>844</v>
      </c>
      <c r="B845" s="2" t="s">
        <v>31</v>
      </c>
      <c r="C845" s="2" t="s">
        <v>1</v>
      </c>
      <c r="D845" s="2" t="s">
        <v>8</v>
      </c>
      <c r="E845" s="2" t="s">
        <v>3</v>
      </c>
      <c r="F845" s="9" t="s">
        <v>4</v>
      </c>
      <c r="G845" s="9" t="str">
        <f t="shared" si="27"/>
        <v>Personal Care</v>
      </c>
      <c r="H845" s="25">
        <v>20.64</v>
      </c>
      <c r="I845" s="6">
        <v>5</v>
      </c>
      <c r="J845" s="25">
        <v>7.22</v>
      </c>
      <c r="K845" s="25">
        <v>110.42</v>
      </c>
      <c r="L845" s="9">
        <v>0</v>
      </c>
      <c r="M845" s="39" t="str">
        <f t="shared" si="26"/>
        <v>Normal Transaction</v>
      </c>
    </row>
    <row r="846" spans="1:13" x14ac:dyDescent="0.35">
      <c r="A846" s="27">
        <v>845</v>
      </c>
      <c r="B846" s="2" t="s">
        <v>31</v>
      </c>
      <c r="C846" s="2" t="s">
        <v>1</v>
      </c>
      <c r="D846" s="2" t="s">
        <v>2</v>
      </c>
      <c r="E846" s="2" t="s">
        <v>9</v>
      </c>
      <c r="F846" s="9" t="s">
        <v>17</v>
      </c>
      <c r="G846" s="9" t="str">
        <f t="shared" si="27"/>
        <v>Beverages</v>
      </c>
      <c r="H846" s="25">
        <v>1.1000000000000001</v>
      </c>
      <c r="I846" s="6">
        <v>10</v>
      </c>
      <c r="J846" s="25">
        <v>0.77</v>
      </c>
      <c r="K846" s="25">
        <v>11.77</v>
      </c>
      <c r="L846" s="9">
        <v>1</v>
      </c>
      <c r="M846" s="39" t="str">
        <f t="shared" si="26"/>
        <v>Normal Transaction</v>
      </c>
    </row>
    <row r="847" spans="1:13" x14ac:dyDescent="0.35">
      <c r="A847" s="27">
        <v>846</v>
      </c>
      <c r="B847" s="2" t="s">
        <v>0</v>
      </c>
      <c r="C847" s="2" t="s">
        <v>14</v>
      </c>
      <c r="D847" s="2" t="s">
        <v>8</v>
      </c>
      <c r="E847" s="2" t="s">
        <v>9</v>
      </c>
      <c r="F847" s="9" t="s">
        <v>4</v>
      </c>
      <c r="G847" s="9" t="str">
        <f t="shared" si="27"/>
        <v>Personal Care</v>
      </c>
      <c r="H847" s="25">
        <v>13.11</v>
      </c>
      <c r="I847" s="6">
        <v>7</v>
      </c>
      <c r="J847" s="25">
        <v>6.42</v>
      </c>
      <c r="K847" s="25">
        <v>98.19</v>
      </c>
      <c r="L847" s="9">
        <v>0</v>
      </c>
      <c r="M847" s="39" t="str">
        <f t="shared" si="26"/>
        <v>Normal Transaction</v>
      </c>
    </row>
    <row r="848" spans="1:13" x14ac:dyDescent="0.35">
      <c r="A848" s="27">
        <v>847</v>
      </c>
      <c r="B848" s="2" t="s">
        <v>6</v>
      </c>
      <c r="C848" s="2" t="s">
        <v>7</v>
      </c>
      <c r="D848" s="2" t="s">
        <v>2</v>
      </c>
      <c r="E848" s="2" t="s">
        <v>3</v>
      </c>
      <c r="F848" s="9" t="s">
        <v>4</v>
      </c>
      <c r="G848" s="9" t="str">
        <f t="shared" si="27"/>
        <v>Personal Care</v>
      </c>
      <c r="H848" s="25">
        <v>14.26</v>
      </c>
      <c r="I848" s="6">
        <v>16</v>
      </c>
      <c r="J848" s="25">
        <v>15.97</v>
      </c>
      <c r="K848" s="25">
        <v>244.13</v>
      </c>
      <c r="L848" s="9">
        <v>24</v>
      </c>
      <c r="M848" s="39" t="str">
        <f t="shared" si="26"/>
        <v>Normal Transaction</v>
      </c>
    </row>
    <row r="849" spans="1:13" x14ac:dyDescent="0.35">
      <c r="A849" s="27">
        <v>848</v>
      </c>
      <c r="B849" s="2" t="s">
        <v>31</v>
      </c>
      <c r="C849" s="2" t="s">
        <v>1</v>
      </c>
      <c r="D849" s="2" t="s">
        <v>8</v>
      </c>
      <c r="E849" s="2" t="s">
        <v>9</v>
      </c>
      <c r="F849" s="9" t="s">
        <v>10</v>
      </c>
      <c r="G849" s="9" t="str">
        <f t="shared" si="27"/>
        <v>Stationery</v>
      </c>
      <c r="H849" s="25">
        <v>2.42</v>
      </c>
      <c r="I849" s="6">
        <v>9</v>
      </c>
      <c r="J849" s="25">
        <v>1.52</v>
      </c>
      <c r="K849" s="25">
        <v>23.3</v>
      </c>
      <c r="L849" s="9">
        <v>0</v>
      </c>
      <c r="M849" s="39" t="str">
        <f t="shared" si="26"/>
        <v>Normal Transaction</v>
      </c>
    </row>
    <row r="850" spans="1:13" x14ac:dyDescent="0.35">
      <c r="A850" s="27">
        <v>849</v>
      </c>
      <c r="B850" s="2" t="s">
        <v>31</v>
      </c>
      <c r="C850" s="2" t="s">
        <v>1</v>
      </c>
      <c r="D850" s="2" t="s">
        <v>8</v>
      </c>
      <c r="E850" s="2" t="s">
        <v>3</v>
      </c>
      <c r="F850" s="9" t="s">
        <v>17</v>
      </c>
      <c r="G850" s="9" t="str">
        <f t="shared" si="27"/>
        <v>Beverages</v>
      </c>
      <c r="H850" s="25">
        <v>4.84</v>
      </c>
      <c r="I850" s="6">
        <v>4</v>
      </c>
      <c r="J850" s="25">
        <v>1.36</v>
      </c>
      <c r="K850" s="25">
        <v>20.72</v>
      </c>
      <c r="L850" s="9">
        <v>0</v>
      </c>
      <c r="M850" s="39" t="str">
        <f t="shared" si="26"/>
        <v>Normal Transaction</v>
      </c>
    </row>
    <row r="851" spans="1:13" x14ac:dyDescent="0.35">
      <c r="A851" s="27">
        <v>850</v>
      </c>
      <c r="B851" s="2" t="s">
        <v>31</v>
      </c>
      <c r="C851" s="2" t="s">
        <v>1</v>
      </c>
      <c r="D851" s="2" t="s">
        <v>2</v>
      </c>
      <c r="E851" s="2" t="s">
        <v>3</v>
      </c>
      <c r="F851" s="9" t="s">
        <v>17</v>
      </c>
      <c r="G851" s="9" t="str">
        <f t="shared" si="27"/>
        <v>Beverages</v>
      </c>
      <c r="H851" s="25">
        <v>1.9</v>
      </c>
      <c r="I851" s="6">
        <v>11</v>
      </c>
      <c r="J851" s="25">
        <v>1.46</v>
      </c>
      <c r="K851" s="25">
        <v>22.36</v>
      </c>
      <c r="L851" s="9">
        <v>2</v>
      </c>
      <c r="M851" s="39" t="str">
        <f t="shared" si="26"/>
        <v>Normal Transaction</v>
      </c>
    </row>
    <row r="852" spans="1:13" x14ac:dyDescent="0.35">
      <c r="A852" s="27">
        <v>851</v>
      </c>
      <c r="B852" s="2" t="s">
        <v>6</v>
      </c>
      <c r="C852" s="2" t="s">
        <v>7</v>
      </c>
      <c r="D852" s="2" t="s">
        <v>8</v>
      </c>
      <c r="E852" s="2" t="s">
        <v>3</v>
      </c>
      <c r="F852" s="9" t="s">
        <v>17</v>
      </c>
      <c r="G852" s="9" t="str">
        <f t="shared" si="27"/>
        <v>Beverages</v>
      </c>
      <c r="H852" s="25">
        <v>8.39</v>
      </c>
      <c r="I852" s="6">
        <v>16</v>
      </c>
      <c r="J852" s="25">
        <v>9.4</v>
      </c>
      <c r="K852" s="25">
        <v>143.63999999999999</v>
      </c>
      <c r="L852" s="9">
        <v>0</v>
      </c>
      <c r="M852" s="39" t="str">
        <f t="shared" si="26"/>
        <v>Normal Transaction</v>
      </c>
    </row>
    <row r="853" spans="1:13" x14ac:dyDescent="0.35">
      <c r="A853" s="27">
        <v>852</v>
      </c>
      <c r="B853" s="2" t="s">
        <v>31</v>
      </c>
      <c r="C853" s="2" t="s">
        <v>1</v>
      </c>
      <c r="D853" s="2" t="s">
        <v>8</v>
      </c>
      <c r="E853" s="2" t="s">
        <v>9</v>
      </c>
      <c r="F853" s="9" t="s">
        <v>17</v>
      </c>
      <c r="G853" s="9" t="str">
        <f t="shared" si="27"/>
        <v>Beverages</v>
      </c>
      <c r="H853" s="25">
        <v>12.13</v>
      </c>
      <c r="I853" s="6">
        <v>19</v>
      </c>
      <c r="J853" s="25">
        <v>16.13</v>
      </c>
      <c r="K853" s="25">
        <v>246.6</v>
      </c>
      <c r="L853" s="9">
        <v>0</v>
      </c>
      <c r="M853" s="39" t="str">
        <f t="shared" si="26"/>
        <v>Normal Transaction</v>
      </c>
    </row>
    <row r="854" spans="1:13" x14ac:dyDescent="0.35">
      <c r="A854" s="27">
        <v>853</v>
      </c>
      <c r="B854" s="2" t="s">
        <v>0</v>
      </c>
      <c r="C854" s="2" t="s">
        <v>14</v>
      </c>
      <c r="D854" s="2" t="s">
        <v>2</v>
      </c>
      <c r="E854" s="2" t="s">
        <v>9</v>
      </c>
      <c r="F854" s="9" t="s">
        <v>4</v>
      </c>
      <c r="G854" s="9" t="str">
        <f t="shared" si="27"/>
        <v>Personal Care</v>
      </c>
      <c r="H854" s="25">
        <v>5.44</v>
      </c>
      <c r="I854" s="6">
        <v>7</v>
      </c>
      <c r="J854" s="25">
        <v>2.67</v>
      </c>
      <c r="K854" s="25">
        <v>40.75</v>
      </c>
      <c r="L854" s="9">
        <v>4</v>
      </c>
      <c r="M854" s="39" t="str">
        <f t="shared" si="26"/>
        <v>Normal Transaction</v>
      </c>
    </row>
    <row r="855" spans="1:13" x14ac:dyDescent="0.35">
      <c r="A855" s="27">
        <v>854</v>
      </c>
      <c r="B855" s="2" t="s">
        <v>0</v>
      </c>
      <c r="C855" s="2" t="s">
        <v>14</v>
      </c>
      <c r="D855" s="2" t="s">
        <v>8</v>
      </c>
      <c r="E855" s="2" t="s">
        <v>3</v>
      </c>
      <c r="F855" s="9" t="s">
        <v>15</v>
      </c>
      <c r="G855" s="9" t="str">
        <f t="shared" si="27"/>
        <v>Household</v>
      </c>
      <c r="H855" s="25">
        <v>15.31</v>
      </c>
      <c r="I855" s="6">
        <v>10</v>
      </c>
      <c r="J855" s="25">
        <v>10.72</v>
      </c>
      <c r="K855" s="25">
        <v>163.82</v>
      </c>
      <c r="L855" s="9">
        <v>0</v>
      </c>
      <c r="M855" s="39" t="str">
        <f t="shared" si="26"/>
        <v>Normal Transaction</v>
      </c>
    </row>
    <row r="856" spans="1:13" x14ac:dyDescent="0.35">
      <c r="A856" s="27">
        <v>855</v>
      </c>
      <c r="B856" s="2" t="s">
        <v>0</v>
      </c>
      <c r="C856" s="2" t="s">
        <v>14</v>
      </c>
      <c r="D856" s="2" t="s">
        <v>8</v>
      </c>
      <c r="E856" s="2" t="s">
        <v>3</v>
      </c>
      <c r="F856" s="9" t="s">
        <v>17</v>
      </c>
      <c r="G856" s="9" t="str">
        <f t="shared" si="27"/>
        <v>Beverages</v>
      </c>
      <c r="H856" s="25">
        <v>8.7200000000000006</v>
      </c>
      <c r="I856" s="6">
        <v>15</v>
      </c>
      <c r="J856" s="25">
        <v>9.16</v>
      </c>
      <c r="K856" s="25">
        <v>139.96</v>
      </c>
      <c r="L856" s="9">
        <v>0</v>
      </c>
      <c r="M856" s="39" t="str">
        <f t="shared" si="26"/>
        <v>Normal Transaction</v>
      </c>
    </row>
    <row r="857" spans="1:13" x14ac:dyDescent="0.35">
      <c r="A857" s="27">
        <v>856</v>
      </c>
      <c r="B857" s="2" t="s">
        <v>0</v>
      </c>
      <c r="C857" s="2" t="s">
        <v>14</v>
      </c>
      <c r="D857" s="2" t="s">
        <v>2</v>
      </c>
      <c r="E857" s="2" t="s">
        <v>9</v>
      </c>
      <c r="F857" s="9" t="s">
        <v>15</v>
      </c>
      <c r="G857" s="9" t="str">
        <f t="shared" si="27"/>
        <v>Household</v>
      </c>
      <c r="H857" s="25">
        <v>3.05</v>
      </c>
      <c r="I857" s="6">
        <v>19</v>
      </c>
      <c r="J857" s="25">
        <v>4.0599999999999996</v>
      </c>
      <c r="K857" s="25">
        <v>62.01</v>
      </c>
      <c r="L857" s="9">
        <v>6</v>
      </c>
      <c r="M857" s="39" t="str">
        <f t="shared" si="26"/>
        <v>Normal Transaction</v>
      </c>
    </row>
    <row r="858" spans="1:13" x14ac:dyDescent="0.35">
      <c r="A858" s="27">
        <v>857</v>
      </c>
      <c r="B858" s="2" t="s">
        <v>6</v>
      </c>
      <c r="C858" s="2" t="s">
        <v>7</v>
      </c>
      <c r="D858" s="2" t="s">
        <v>8</v>
      </c>
      <c r="E858" s="2" t="s">
        <v>3</v>
      </c>
      <c r="F858" s="9" t="s">
        <v>4</v>
      </c>
      <c r="G858" s="9" t="str">
        <f t="shared" si="27"/>
        <v>Personal Care</v>
      </c>
      <c r="H858" s="25">
        <v>1.05</v>
      </c>
      <c r="I858" s="6">
        <v>15</v>
      </c>
      <c r="J858" s="25">
        <v>1.1000000000000001</v>
      </c>
      <c r="K858" s="25">
        <v>16.850000000000001</v>
      </c>
      <c r="L858" s="9">
        <v>0</v>
      </c>
      <c r="M858" s="39" t="str">
        <f t="shared" si="26"/>
        <v>Normal Transaction</v>
      </c>
    </row>
    <row r="859" spans="1:13" x14ac:dyDescent="0.35">
      <c r="A859" s="27">
        <v>858</v>
      </c>
      <c r="B859" s="2" t="s">
        <v>31</v>
      </c>
      <c r="C859" s="2" t="s">
        <v>1</v>
      </c>
      <c r="D859" s="2" t="s">
        <v>2</v>
      </c>
      <c r="E859" s="2" t="s">
        <v>9</v>
      </c>
      <c r="F859" s="9" t="s">
        <v>17</v>
      </c>
      <c r="G859" s="9" t="str">
        <f t="shared" si="27"/>
        <v>Beverages</v>
      </c>
      <c r="H859" s="25">
        <v>6.48</v>
      </c>
      <c r="I859" s="6">
        <v>7</v>
      </c>
      <c r="J859" s="25">
        <v>3.18</v>
      </c>
      <c r="K859" s="25">
        <v>48.54</v>
      </c>
      <c r="L859" s="9">
        <v>4</v>
      </c>
      <c r="M859" s="39" t="str">
        <f t="shared" si="26"/>
        <v>Normal Transaction</v>
      </c>
    </row>
    <row r="860" spans="1:13" x14ac:dyDescent="0.35">
      <c r="A860" s="27">
        <v>859</v>
      </c>
      <c r="B860" s="2" t="s">
        <v>0</v>
      </c>
      <c r="C860" s="2" t="s">
        <v>14</v>
      </c>
      <c r="D860" s="2" t="s">
        <v>8</v>
      </c>
      <c r="E860" s="2" t="s">
        <v>3</v>
      </c>
      <c r="F860" s="9" t="s">
        <v>10</v>
      </c>
      <c r="G860" s="9" t="str">
        <f t="shared" si="27"/>
        <v>Stationery</v>
      </c>
      <c r="H860" s="25">
        <v>14.8</v>
      </c>
      <c r="I860" s="6">
        <v>10</v>
      </c>
      <c r="J860" s="25">
        <v>10.36</v>
      </c>
      <c r="K860" s="25">
        <v>158.36000000000001</v>
      </c>
      <c r="L860" s="9">
        <v>0</v>
      </c>
      <c r="M860" s="39" t="str">
        <f t="shared" si="26"/>
        <v>Normal Transaction</v>
      </c>
    </row>
    <row r="861" spans="1:13" x14ac:dyDescent="0.35">
      <c r="A861" s="27">
        <v>860</v>
      </c>
      <c r="B861" s="2" t="s">
        <v>31</v>
      </c>
      <c r="C861" s="2" t="s">
        <v>1</v>
      </c>
      <c r="D861" s="2" t="s">
        <v>2</v>
      </c>
      <c r="E861" s="2" t="s">
        <v>3</v>
      </c>
      <c r="F861" s="9" t="s">
        <v>4</v>
      </c>
      <c r="G861" s="9" t="str">
        <f t="shared" si="27"/>
        <v>Personal Care</v>
      </c>
      <c r="H861" s="25">
        <v>15.1</v>
      </c>
      <c r="I861" s="6">
        <v>18</v>
      </c>
      <c r="J861" s="25">
        <v>19.03</v>
      </c>
      <c r="K861" s="25">
        <v>290.83</v>
      </c>
      <c r="L861" s="9">
        <v>29</v>
      </c>
      <c r="M861" s="39" t="str">
        <f t="shared" si="26"/>
        <v>Normal Transaction</v>
      </c>
    </row>
    <row r="862" spans="1:13" x14ac:dyDescent="0.35">
      <c r="A862" s="27">
        <v>861</v>
      </c>
      <c r="B862" s="2" t="s">
        <v>31</v>
      </c>
      <c r="C862" s="2" t="s">
        <v>1</v>
      </c>
      <c r="D862" s="2" t="s">
        <v>2</v>
      </c>
      <c r="E862" s="2" t="s">
        <v>9</v>
      </c>
      <c r="F862" s="9" t="s">
        <v>4</v>
      </c>
      <c r="G862" s="9" t="str">
        <f t="shared" si="27"/>
        <v>Personal Care</v>
      </c>
      <c r="H862" s="25">
        <v>9.34</v>
      </c>
      <c r="I862" s="6">
        <v>16</v>
      </c>
      <c r="J862" s="25">
        <v>10.46</v>
      </c>
      <c r="K862" s="25">
        <v>159.9</v>
      </c>
      <c r="L862" s="9">
        <v>15</v>
      </c>
      <c r="M862" s="39" t="str">
        <f t="shared" si="26"/>
        <v>Normal Transaction</v>
      </c>
    </row>
    <row r="863" spans="1:13" x14ac:dyDescent="0.35">
      <c r="A863" s="27">
        <v>862</v>
      </c>
      <c r="B863" s="2" t="s">
        <v>6</v>
      </c>
      <c r="C863" s="2" t="s">
        <v>7</v>
      </c>
      <c r="D863" s="2" t="s">
        <v>8</v>
      </c>
      <c r="E863" s="2" t="s">
        <v>9</v>
      </c>
      <c r="F863" s="9" t="s">
        <v>10</v>
      </c>
      <c r="G863" s="9" t="str">
        <f t="shared" si="27"/>
        <v>Stationery</v>
      </c>
      <c r="H863" s="25">
        <v>1.27</v>
      </c>
      <c r="I863" s="6">
        <v>8</v>
      </c>
      <c r="J863" s="25">
        <v>0.71</v>
      </c>
      <c r="K863" s="25">
        <v>10.87</v>
      </c>
      <c r="L863" s="9">
        <v>0</v>
      </c>
      <c r="M863" s="39" t="str">
        <f t="shared" si="26"/>
        <v>Normal Transaction</v>
      </c>
    </row>
    <row r="864" spans="1:13" x14ac:dyDescent="0.35">
      <c r="A864" s="27">
        <v>863</v>
      </c>
      <c r="B864" s="2" t="s">
        <v>0</v>
      </c>
      <c r="C864" s="2" t="s">
        <v>14</v>
      </c>
      <c r="D864" s="2" t="s">
        <v>2</v>
      </c>
      <c r="E864" s="2" t="s">
        <v>3</v>
      </c>
      <c r="F864" s="9" t="s">
        <v>10</v>
      </c>
      <c r="G864" s="9" t="str">
        <f t="shared" si="27"/>
        <v>Stationery</v>
      </c>
      <c r="H864" s="25">
        <v>19.440000000000001</v>
      </c>
      <c r="I864" s="6">
        <v>2</v>
      </c>
      <c r="J864" s="25">
        <v>2.72</v>
      </c>
      <c r="K864" s="25">
        <v>41.6</v>
      </c>
      <c r="L864" s="9">
        <v>4</v>
      </c>
      <c r="M864" s="39" t="str">
        <f t="shared" si="26"/>
        <v>Normal Transaction</v>
      </c>
    </row>
    <row r="865" spans="1:13" x14ac:dyDescent="0.35">
      <c r="A865" s="27">
        <v>864</v>
      </c>
      <c r="B865" s="2" t="s">
        <v>0</v>
      </c>
      <c r="C865" s="2" t="s">
        <v>14</v>
      </c>
      <c r="D865" s="2" t="s">
        <v>2</v>
      </c>
      <c r="E865" s="2" t="s">
        <v>3</v>
      </c>
      <c r="F865" s="9" t="s">
        <v>10</v>
      </c>
      <c r="G865" s="9" t="str">
        <f t="shared" si="27"/>
        <v>Stationery</v>
      </c>
      <c r="H865" s="25">
        <v>2.83</v>
      </c>
      <c r="I865" s="6">
        <v>6</v>
      </c>
      <c r="J865" s="25">
        <v>1.19</v>
      </c>
      <c r="K865" s="25">
        <v>18.170000000000002</v>
      </c>
      <c r="L865" s="9">
        <v>1</v>
      </c>
      <c r="M865" s="39" t="str">
        <f t="shared" si="26"/>
        <v>Normal Transaction</v>
      </c>
    </row>
    <row r="866" spans="1:13" x14ac:dyDescent="0.35">
      <c r="A866" s="27">
        <v>865</v>
      </c>
      <c r="B866" s="2" t="s">
        <v>31</v>
      </c>
      <c r="C866" s="2" t="s">
        <v>1</v>
      </c>
      <c r="D866" s="2" t="s">
        <v>8</v>
      </c>
      <c r="E866" s="2" t="s">
        <v>9</v>
      </c>
      <c r="F866" s="9" t="s">
        <v>12</v>
      </c>
      <c r="G866" s="9" t="str">
        <f t="shared" si="27"/>
        <v>Fruits</v>
      </c>
      <c r="H866" s="25">
        <v>16.170000000000002</v>
      </c>
      <c r="I866" s="6">
        <v>3</v>
      </c>
      <c r="J866" s="25">
        <v>3.4</v>
      </c>
      <c r="K866" s="25">
        <v>51.91</v>
      </c>
      <c r="L866" s="9">
        <v>0</v>
      </c>
      <c r="M866" s="39" t="str">
        <f t="shared" si="26"/>
        <v>Normal Transaction</v>
      </c>
    </row>
    <row r="867" spans="1:13" x14ac:dyDescent="0.35">
      <c r="A867" s="27">
        <v>866</v>
      </c>
      <c r="B867" s="2" t="s">
        <v>0</v>
      </c>
      <c r="C867" s="2" t="s">
        <v>14</v>
      </c>
      <c r="D867" s="2" t="s">
        <v>2</v>
      </c>
      <c r="E867" s="2" t="s">
        <v>9</v>
      </c>
      <c r="F867" s="9" t="s">
        <v>17</v>
      </c>
      <c r="G867" s="9" t="str">
        <f t="shared" si="27"/>
        <v>Beverages</v>
      </c>
      <c r="H867" s="25">
        <v>4.67</v>
      </c>
      <c r="I867" s="6">
        <v>13</v>
      </c>
      <c r="J867" s="25">
        <v>4.25</v>
      </c>
      <c r="K867" s="25">
        <v>64.959999999999994</v>
      </c>
      <c r="L867" s="9">
        <v>6</v>
      </c>
      <c r="M867" s="39" t="str">
        <f t="shared" si="26"/>
        <v>Normal Transaction</v>
      </c>
    </row>
    <row r="868" spans="1:13" x14ac:dyDescent="0.35">
      <c r="A868" s="27">
        <v>867</v>
      </c>
      <c r="B868" s="2" t="s">
        <v>6</v>
      </c>
      <c r="C868" s="2" t="s">
        <v>7</v>
      </c>
      <c r="D868" s="2" t="s">
        <v>2</v>
      </c>
      <c r="E868" s="2" t="s">
        <v>3</v>
      </c>
      <c r="F868" s="9" t="s">
        <v>15</v>
      </c>
      <c r="G868" s="9" t="str">
        <f t="shared" si="27"/>
        <v>Household</v>
      </c>
      <c r="H868" s="25">
        <v>14.69</v>
      </c>
      <c r="I868" s="6">
        <v>18</v>
      </c>
      <c r="J868" s="25">
        <v>18.510000000000002</v>
      </c>
      <c r="K868" s="25">
        <v>282.93</v>
      </c>
      <c r="L868" s="9">
        <v>28</v>
      </c>
      <c r="M868" s="39" t="str">
        <f t="shared" si="26"/>
        <v>Normal Transaction</v>
      </c>
    </row>
    <row r="869" spans="1:13" x14ac:dyDescent="0.35">
      <c r="A869" s="27">
        <v>868</v>
      </c>
      <c r="B869" s="2" t="s">
        <v>0</v>
      </c>
      <c r="C869" s="2" t="s">
        <v>14</v>
      </c>
      <c r="D869" s="2" t="s">
        <v>8</v>
      </c>
      <c r="E869" s="2" t="s">
        <v>3</v>
      </c>
      <c r="F869" s="9" t="s">
        <v>4</v>
      </c>
      <c r="G869" s="9" t="str">
        <f t="shared" si="27"/>
        <v>Personal Care</v>
      </c>
      <c r="H869" s="25">
        <v>5.88</v>
      </c>
      <c r="I869" s="6">
        <v>13</v>
      </c>
      <c r="J869" s="25">
        <v>5.35</v>
      </c>
      <c r="K869" s="25">
        <v>81.790000000000006</v>
      </c>
      <c r="L869" s="9">
        <v>0</v>
      </c>
      <c r="M869" s="39" t="str">
        <f t="shared" si="26"/>
        <v>Normal Transaction</v>
      </c>
    </row>
    <row r="870" spans="1:13" x14ac:dyDescent="0.35">
      <c r="A870" s="27">
        <v>869</v>
      </c>
      <c r="B870" s="2" t="s">
        <v>6</v>
      </c>
      <c r="C870" s="2" t="s">
        <v>7</v>
      </c>
      <c r="D870" s="2" t="s">
        <v>2</v>
      </c>
      <c r="E870" s="2" t="s">
        <v>9</v>
      </c>
      <c r="F870" s="9" t="s">
        <v>10</v>
      </c>
      <c r="G870" s="9" t="str">
        <f t="shared" si="27"/>
        <v>Stationery</v>
      </c>
      <c r="H870" s="25">
        <v>12.1</v>
      </c>
      <c r="I870" s="6">
        <v>16</v>
      </c>
      <c r="J870" s="25">
        <v>13.55</v>
      </c>
      <c r="K870" s="25">
        <v>207.15</v>
      </c>
      <c r="L870" s="9">
        <v>20</v>
      </c>
      <c r="M870" s="39" t="str">
        <f t="shared" si="26"/>
        <v>Normal Transaction</v>
      </c>
    </row>
    <row r="871" spans="1:13" x14ac:dyDescent="0.35">
      <c r="A871" s="27">
        <v>870</v>
      </c>
      <c r="B871" s="2" t="s">
        <v>31</v>
      </c>
      <c r="C871" s="2" t="s">
        <v>1</v>
      </c>
      <c r="D871" s="2" t="s">
        <v>8</v>
      </c>
      <c r="E871" s="2" t="s">
        <v>3</v>
      </c>
      <c r="F871" s="9" t="s">
        <v>12</v>
      </c>
      <c r="G871" s="9" t="str">
        <f t="shared" si="27"/>
        <v>Fruits</v>
      </c>
      <c r="H871" s="25">
        <v>4.1399999999999997</v>
      </c>
      <c r="I871" s="6">
        <v>15</v>
      </c>
      <c r="J871" s="25">
        <v>4.3499999999999996</v>
      </c>
      <c r="K871" s="25">
        <v>66.45</v>
      </c>
      <c r="L871" s="9">
        <v>0</v>
      </c>
      <c r="M871" s="39" t="str">
        <f t="shared" si="26"/>
        <v>Normal Transaction</v>
      </c>
    </row>
    <row r="872" spans="1:13" x14ac:dyDescent="0.35">
      <c r="A872" s="27">
        <v>871</v>
      </c>
      <c r="B872" s="2" t="s">
        <v>31</v>
      </c>
      <c r="C872" s="2" t="s">
        <v>1</v>
      </c>
      <c r="D872" s="2" t="s">
        <v>2</v>
      </c>
      <c r="E872" s="2" t="s">
        <v>9</v>
      </c>
      <c r="F872" s="9" t="s">
        <v>4</v>
      </c>
      <c r="G872" s="9" t="str">
        <f t="shared" si="27"/>
        <v>Personal Care</v>
      </c>
      <c r="H872" s="25">
        <v>9.86</v>
      </c>
      <c r="I872" s="6">
        <v>15</v>
      </c>
      <c r="J872" s="25">
        <v>10.35</v>
      </c>
      <c r="K872" s="25">
        <v>158.25</v>
      </c>
      <c r="L872" s="9">
        <v>15</v>
      </c>
      <c r="M872" s="39" t="str">
        <f t="shared" si="26"/>
        <v>Normal Transaction</v>
      </c>
    </row>
    <row r="873" spans="1:13" x14ac:dyDescent="0.35">
      <c r="A873" s="27">
        <v>872</v>
      </c>
      <c r="B873" s="2" t="s">
        <v>0</v>
      </c>
      <c r="C873" s="2" t="s">
        <v>14</v>
      </c>
      <c r="D873" s="2" t="s">
        <v>8</v>
      </c>
      <c r="E873" s="2" t="s">
        <v>3</v>
      </c>
      <c r="F873" s="9" t="s">
        <v>17</v>
      </c>
      <c r="G873" s="9" t="str">
        <f t="shared" si="27"/>
        <v>Beverages</v>
      </c>
      <c r="H873" s="25">
        <v>2.82</v>
      </c>
      <c r="I873" s="6">
        <v>18</v>
      </c>
      <c r="J873" s="25">
        <v>3.55</v>
      </c>
      <c r="K873" s="25">
        <v>54.31</v>
      </c>
      <c r="L873" s="9">
        <v>0</v>
      </c>
      <c r="M873" s="39" t="str">
        <f t="shared" si="26"/>
        <v>Normal Transaction</v>
      </c>
    </row>
    <row r="874" spans="1:13" x14ac:dyDescent="0.35">
      <c r="A874" s="27">
        <v>873</v>
      </c>
      <c r="B874" s="2" t="s">
        <v>31</v>
      </c>
      <c r="C874" s="2" t="s">
        <v>1</v>
      </c>
      <c r="D874" s="2" t="s">
        <v>8</v>
      </c>
      <c r="E874" s="2" t="s">
        <v>9</v>
      </c>
      <c r="F874" s="9" t="s">
        <v>4</v>
      </c>
      <c r="G874" s="9" t="str">
        <f t="shared" si="27"/>
        <v>Personal Care</v>
      </c>
      <c r="H874" s="25">
        <v>5.25</v>
      </c>
      <c r="I874" s="6">
        <v>13</v>
      </c>
      <c r="J874" s="25">
        <v>4.78</v>
      </c>
      <c r="K874" s="25">
        <v>73.03</v>
      </c>
      <c r="L874" s="9">
        <v>0</v>
      </c>
      <c r="M874" s="39" t="str">
        <f t="shared" si="26"/>
        <v>Normal Transaction</v>
      </c>
    </row>
    <row r="875" spans="1:13" x14ac:dyDescent="0.35">
      <c r="A875" s="27">
        <v>874</v>
      </c>
      <c r="B875" s="2" t="s">
        <v>6</v>
      </c>
      <c r="C875" s="2" t="s">
        <v>7</v>
      </c>
      <c r="D875" s="2" t="s">
        <v>8</v>
      </c>
      <c r="E875" s="2" t="s">
        <v>3</v>
      </c>
      <c r="F875" s="9" t="s">
        <v>17</v>
      </c>
      <c r="G875" s="9" t="str">
        <f t="shared" si="27"/>
        <v>Beverages</v>
      </c>
      <c r="H875" s="25">
        <v>6.42</v>
      </c>
      <c r="I875" s="6">
        <v>18</v>
      </c>
      <c r="J875" s="25">
        <v>8.09</v>
      </c>
      <c r="K875" s="25">
        <v>123.65</v>
      </c>
      <c r="L875" s="9">
        <v>0</v>
      </c>
      <c r="M875" s="39" t="str">
        <f t="shared" si="26"/>
        <v>Normal Transaction</v>
      </c>
    </row>
    <row r="876" spans="1:13" x14ac:dyDescent="0.35">
      <c r="A876" s="27">
        <v>875</v>
      </c>
      <c r="B876" s="2" t="s">
        <v>0</v>
      </c>
      <c r="C876" s="2" t="s">
        <v>14</v>
      </c>
      <c r="D876" s="2" t="s">
        <v>2</v>
      </c>
      <c r="E876" s="2" t="s">
        <v>9</v>
      </c>
      <c r="F876" s="9" t="s">
        <v>15</v>
      </c>
      <c r="G876" s="9" t="str">
        <f t="shared" si="27"/>
        <v>Household</v>
      </c>
      <c r="H876" s="25">
        <v>4.3</v>
      </c>
      <c r="I876" s="6">
        <v>14</v>
      </c>
      <c r="J876" s="25">
        <v>4.21</v>
      </c>
      <c r="K876" s="25">
        <v>64.41</v>
      </c>
      <c r="L876" s="9">
        <v>6</v>
      </c>
      <c r="M876" s="39" t="str">
        <f t="shared" si="26"/>
        <v>Normal Transaction</v>
      </c>
    </row>
    <row r="877" spans="1:13" x14ac:dyDescent="0.35">
      <c r="A877" s="27">
        <v>876</v>
      </c>
      <c r="B877" s="2" t="s">
        <v>31</v>
      </c>
      <c r="C877" s="2" t="s">
        <v>1</v>
      </c>
      <c r="D877" s="2" t="s">
        <v>2</v>
      </c>
      <c r="E877" s="2" t="s">
        <v>3</v>
      </c>
      <c r="F877" s="9" t="s">
        <v>4</v>
      </c>
      <c r="G877" s="9" t="str">
        <f t="shared" si="27"/>
        <v>Personal Care</v>
      </c>
      <c r="H877" s="25">
        <v>3.13</v>
      </c>
      <c r="I877" s="6">
        <v>17</v>
      </c>
      <c r="J877" s="25">
        <v>3.72</v>
      </c>
      <c r="K877" s="25">
        <v>56.93</v>
      </c>
      <c r="L877" s="9">
        <v>5</v>
      </c>
      <c r="M877" s="39" t="str">
        <f t="shared" si="26"/>
        <v>Normal Transaction</v>
      </c>
    </row>
    <row r="878" spans="1:13" x14ac:dyDescent="0.35">
      <c r="A878" s="27">
        <v>877</v>
      </c>
      <c r="B878" s="2" t="s">
        <v>6</v>
      </c>
      <c r="C878" s="2" t="s">
        <v>7</v>
      </c>
      <c r="D878" s="2" t="s">
        <v>2</v>
      </c>
      <c r="E878" s="2" t="s">
        <v>3</v>
      </c>
      <c r="F878" s="9" t="s">
        <v>12</v>
      </c>
      <c r="G878" s="9" t="str">
        <f t="shared" si="27"/>
        <v>Fruits</v>
      </c>
      <c r="H878" s="25">
        <v>16.36</v>
      </c>
      <c r="I878" s="6">
        <v>10</v>
      </c>
      <c r="J878" s="25">
        <v>11.45</v>
      </c>
      <c r="K878" s="25">
        <v>175.05</v>
      </c>
      <c r="L878" s="9">
        <v>17</v>
      </c>
      <c r="M878" s="39" t="str">
        <f t="shared" si="26"/>
        <v>Normal Transaction</v>
      </c>
    </row>
    <row r="879" spans="1:13" x14ac:dyDescent="0.35">
      <c r="A879" s="27">
        <v>878</v>
      </c>
      <c r="B879" s="2" t="s">
        <v>31</v>
      </c>
      <c r="C879" s="2" t="s">
        <v>1</v>
      </c>
      <c r="D879" s="2" t="s">
        <v>2</v>
      </c>
      <c r="E879" s="2" t="s">
        <v>3</v>
      </c>
      <c r="F879" s="9" t="s">
        <v>12</v>
      </c>
      <c r="G879" s="9" t="str">
        <f t="shared" si="27"/>
        <v>Fruits</v>
      </c>
      <c r="H879" s="25">
        <v>11.71</v>
      </c>
      <c r="I879" s="6">
        <v>11</v>
      </c>
      <c r="J879" s="25">
        <v>9.02</v>
      </c>
      <c r="K879" s="25">
        <v>137.83000000000001</v>
      </c>
      <c r="L879" s="9">
        <v>13</v>
      </c>
      <c r="M879" s="39" t="str">
        <f t="shared" si="26"/>
        <v>Normal Transaction</v>
      </c>
    </row>
    <row r="880" spans="1:13" x14ac:dyDescent="0.35">
      <c r="A880" s="27">
        <v>879</v>
      </c>
      <c r="B880" s="2" t="s">
        <v>0</v>
      </c>
      <c r="C880" s="2" t="s">
        <v>14</v>
      </c>
      <c r="D880" s="2" t="s">
        <v>8</v>
      </c>
      <c r="E880" s="2" t="s">
        <v>3</v>
      </c>
      <c r="F880" s="9" t="s">
        <v>4</v>
      </c>
      <c r="G880" s="9" t="str">
        <f t="shared" si="27"/>
        <v>Personal Care</v>
      </c>
      <c r="H880" s="25">
        <v>15.68</v>
      </c>
      <c r="I880" s="6">
        <v>1</v>
      </c>
      <c r="J880" s="25">
        <v>1.1000000000000001</v>
      </c>
      <c r="K880" s="25">
        <v>16.78</v>
      </c>
      <c r="L880" s="9">
        <v>0</v>
      </c>
      <c r="M880" s="39" t="str">
        <f t="shared" si="26"/>
        <v>Normal Transaction</v>
      </c>
    </row>
    <row r="881" spans="1:13" x14ac:dyDescent="0.35">
      <c r="A881" s="27">
        <v>880</v>
      </c>
      <c r="B881" s="2" t="s">
        <v>31</v>
      </c>
      <c r="C881" s="2" t="s">
        <v>1</v>
      </c>
      <c r="D881" s="2" t="s">
        <v>8</v>
      </c>
      <c r="E881" s="2" t="s">
        <v>9</v>
      </c>
      <c r="F881" s="9" t="s">
        <v>4</v>
      </c>
      <c r="G881" s="9" t="str">
        <f t="shared" si="27"/>
        <v>Personal Care</v>
      </c>
      <c r="H881" s="25">
        <v>7.14</v>
      </c>
      <c r="I881" s="6">
        <v>2</v>
      </c>
      <c r="J881" s="25">
        <v>1</v>
      </c>
      <c r="K881" s="25">
        <v>15.28</v>
      </c>
      <c r="L881" s="9">
        <v>0</v>
      </c>
      <c r="M881" s="39" t="str">
        <f t="shared" si="26"/>
        <v>Normal Transaction</v>
      </c>
    </row>
    <row r="882" spans="1:13" x14ac:dyDescent="0.35">
      <c r="A882" s="27">
        <v>881</v>
      </c>
      <c r="B882" s="2" t="s">
        <v>31</v>
      </c>
      <c r="C882" s="2" t="s">
        <v>1</v>
      </c>
      <c r="D882" s="2" t="s">
        <v>2</v>
      </c>
      <c r="E882" s="2" t="s">
        <v>9</v>
      </c>
      <c r="F882" s="9" t="s">
        <v>4</v>
      </c>
      <c r="G882" s="9" t="str">
        <f t="shared" si="27"/>
        <v>Personal Care</v>
      </c>
      <c r="H882" s="25">
        <v>20.98</v>
      </c>
      <c r="I882" s="6">
        <v>16</v>
      </c>
      <c r="J882" s="25">
        <v>23.5</v>
      </c>
      <c r="K882" s="25">
        <v>359.18</v>
      </c>
      <c r="L882" s="9">
        <v>35</v>
      </c>
      <c r="M882" s="39" t="str">
        <f t="shared" si="26"/>
        <v>Normal Transaction</v>
      </c>
    </row>
    <row r="883" spans="1:13" x14ac:dyDescent="0.35">
      <c r="A883" s="27">
        <v>882</v>
      </c>
      <c r="B883" s="2" t="s">
        <v>6</v>
      </c>
      <c r="C883" s="2" t="s">
        <v>7</v>
      </c>
      <c r="D883" s="2" t="s">
        <v>2</v>
      </c>
      <c r="E883" s="2" t="s">
        <v>9</v>
      </c>
      <c r="F883" s="9" t="s">
        <v>4</v>
      </c>
      <c r="G883" s="9" t="str">
        <f t="shared" si="27"/>
        <v>Personal Care</v>
      </c>
      <c r="H883" s="25">
        <v>10.45</v>
      </c>
      <c r="I883" s="6">
        <v>3</v>
      </c>
      <c r="J883" s="25">
        <v>2.19</v>
      </c>
      <c r="K883" s="25">
        <v>33.54</v>
      </c>
      <c r="L883" s="9">
        <v>3</v>
      </c>
      <c r="M883" s="39" t="str">
        <f t="shared" si="26"/>
        <v>Normal Transaction</v>
      </c>
    </row>
    <row r="884" spans="1:13" x14ac:dyDescent="0.35">
      <c r="A884" s="27">
        <v>883</v>
      </c>
      <c r="B884" s="2" t="s">
        <v>6</v>
      </c>
      <c r="C884" s="2" t="s">
        <v>7</v>
      </c>
      <c r="D884" s="2" t="s">
        <v>2</v>
      </c>
      <c r="E884" s="2" t="s">
        <v>9</v>
      </c>
      <c r="F884" s="9" t="s">
        <v>12</v>
      </c>
      <c r="G884" s="9" t="str">
        <f t="shared" si="27"/>
        <v>Fruits</v>
      </c>
      <c r="H884" s="25">
        <v>8.61</v>
      </c>
      <c r="I884" s="6">
        <v>19</v>
      </c>
      <c r="J884" s="25">
        <v>11.45</v>
      </c>
      <c r="K884" s="25">
        <v>175.04</v>
      </c>
      <c r="L884" s="9">
        <v>17</v>
      </c>
      <c r="M884" s="39" t="str">
        <f t="shared" si="26"/>
        <v>Normal Transaction</v>
      </c>
    </row>
    <row r="885" spans="1:13" x14ac:dyDescent="0.35">
      <c r="A885" s="27">
        <v>884</v>
      </c>
      <c r="B885" s="2" t="s">
        <v>31</v>
      </c>
      <c r="C885" s="2" t="s">
        <v>1</v>
      </c>
      <c r="D885" s="2" t="s">
        <v>2</v>
      </c>
      <c r="E885" s="2" t="s">
        <v>9</v>
      </c>
      <c r="F885" s="9" t="s">
        <v>12</v>
      </c>
      <c r="G885" s="9" t="str">
        <f t="shared" si="27"/>
        <v>Fruits</v>
      </c>
      <c r="H885" s="25">
        <v>12.16</v>
      </c>
      <c r="I885" s="6">
        <v>19</v>
      </c>
      <c r="J885" s="25">
        <v>16.170000000000002</v>
      </c>
      <c r="K885" s="25">
        <v>247.21</v>
      </c>
      <c r="L885" s="9">
        <v>24</v>
      </c>
      <c r="M885" s="39" t="str">
        <f t="shared" si="26"/>
        <v>Normal Transaction</v>
      </c>
    </row>
    <row r="886" spans="1:13" x14ac:dyDescent="0.35">
      <c r="A886" s="27">
        <v>885</v>
      </c>
      <c r="B886" s="2" t="s">
        <v>31</v>
      </c>
      <c r="C886" s="2" t="s">
        <v>1</v>
      </c>
      <c r="D886" s="2" t="s">
        <v>8</v>
      </c>
      <c r="E886" s="2" t="s">
        <v>3</v>
      </c>
      <c r="F886" s="9" t="s">
        <v>4</v>
      </c>
      <c r="G886" s="9" t="str">
        <f t="shared" si="27"/>
        <v>Personal Care</v>
      </c>
      <c r="H886" s="25">
        <v>6.11</v>
      </c>
      <c r="I886" s="6">
        <v>2</v>
      </c>
      <c r="J886" s="25">
        <v>0.86</v>
      </c>
      <c r="K886" s="25">
        <v>13.08</v>
      </c>
      <c r="L886" s="9">
        <v>0</v>
      </c>
      <c r="M886" s="39" t="str">
        <f t="shared" si="26"/>
        <v>Normal Transaction</v>
      </c>
    </row>
    <row r="887" spans="1:13" x14ac:dyDescent="0.35">
      <c r="A887" s="27">
        <v>886</v>
      </c>
      <c r="B887" s="2" t="s">
        <v>31</v>
      </c>
      <c r="C887" s="2" t="s">
        <v>1</v>
      </c>
      <c r="D887" s="2" t="s">
        <v>8</v>
      </c>
      <c r="E887" s="2" t="s">
        <v>9</v>
      </c>
      <c r="F887" s="9" t="s">
        <v>17</v>
      </c>
      <c r="G887" s="9" t="str">
        <f t="shared" si="27"/>
        <v>Beverages</v>
      </c>
      <c r="H887" s="25">
        <v>17.829999999999998</v>
      </c>
      <c r="I887" s="6">
        <v>8</v>
      </c>
      <c r="J887" s="25">
        <v>9.98</v>
      </c>
      <c r="K887" s="25">
        <v>152.62</v>
      </c>
      <c r="L887" s="9">
        <v>0</v>
      </c>
      <c r="M887" s="39" t="str">
        <f t="shared" si="26"/>
        <v>Normal Transaction</v>
      </c>
    </row>
    <row r="888" spans="1:13" x14ac:dyDescent="0.35">
      <c r="A888" s="27">
        <v>887</v>
      </c>
      <c r="B888" s="2" t="s">
        <v>0</v>
      </c>
      <c r="C888" s="2" t="s">
        <v>14</v>
      </c>
      <c r="D888" s="2" t="s">
        <v>2</v>
      </c>
      <c r="E888" s="2" t="s">
        <v>9</v>
      </c>
      <c r="F888" s="9" t="s">
        <v>4</v>
      </c>
      <c r="G888" s="9" t="str">
        <f t="shared" si="27"/>
        <v>Personal Care</v>
      </c>
      <c r="H888" s="25">
        <v>6.21</v>
      </c>
      <c r="I888" s="6">
        <v>17</v>
      </c>
      <c r="J888" s="25">
        <v>7.39</v>
      </c>
      <c r="K888" s="25">
        <v>112.96</v>
      </c>
      <c r="L888" s="9">
        <v>11</v>
      </c>
      <c r="M888" s="39" t="str">
        <f t="shared" si="26"/>
        <v>Normal Transaction</v>
      </c>
    </row>
    <row r="889" spans="1:13" x14ac:dyDescent="0.35">
      <c r="A889" s="27">
        <v>888</v>
      </c>
      <c r="B889" s="2" t="s">
        <v>0</v>
      </c>
      <c r="C889" s="2" t="s">
        <v>14</v>
      </c>
      <c r="D889" s="2" t="s">
        <v>2</v>
      </c>
      <c r="E889" s="2" t="s">
        <v>9</v>
      </c>
      <c r="F889" s="9" t="s">
        <v>10</v>
      </c>
      <c r="G889" s="9" t="str">
        <f t="shared" si="27"/>
        <v>Stationery</v>
      </c>
      <c r="H889" s="25">
        <v>10.65</v>
      </c>
      <c r="I889" s="6">
        <v>19</v>
      </c>
      <c r="J889" s="25">
        <v>14.16</v>
      </c>
      <c r="K889" s="25">
        <v>216.51</v>
      </c>
      <c r="L889" s="9">
        <v>21</v>
      </c>
      <c r="M889" s="39" t="str">
        <f t="shared" si="26"/>
        <v>Normal Transaction</v>
      </c>
    </row>
    <row r="890" spans="1:13" x14ac:dyDescent="0.35">
      <c r="A890" s="27">
        <v>889</v>
      </c>
      <c r="B890" s="2" t="s">
        <v>6</v>
      </c>
      <c r="C890" s="2" t="s">
        <v>7</v>
      </c>
      <c r="D890" s="2" t="s">
        <v>8</v>
      </c>
      <c r="E890" s="2" t="s">
        <v>9</v>
      </c>
      <c r="F890" s="9" t="s">
        <v>17</v>
      </c>
      <c r="G890" s="9" t="str">
        <f t="shared" si="27"/>
        <v>Beverages</v>
      </c>
      <c r="H890" s="25">
        <v>2.71</v>
      </c>
      <c r="I890" s="6">
        <v>19</v>
      </c>
      <c r="J890" s="25">
        <v>3.6</v>
      </c>
      <c r="K890" s="25">
        <v>55.09</v>
      </c>
      <c r="L890" s="9">
        <v>0</v>
      </c>
      <c r="M890" s="39" t="str">
        <f t="shared" si="26"/>
        <v>Normal Transaction</v>
      </c>
    </row>
    <row r="891" spans="1:13" x14ac:dyDescent="0.35">
      <c r="A891" s="27">
        <v>890</v>
      </c>
      <c r="B891" s="2" t="s">
        <v>31</v>
      </c>
      <c r="C891" s="2" t="s">
        <v>1</v>
      </c>
      <c r="D891" s="2" t="s">
        <v>2</v>
      </c>
      <c r="E891" s="2" t="s">
        <v>9</v>
      </c>
      <c r="F891" s="9" t="s">
        <v>17</v>
      </c>
      <c r="G891" s="9" t="str">
        <f t="shared" si="27"/>
        <v>Beverages</v>
      </c>
      <c r="H891" s="25">
        <v>10.27</v>
      </c>
      <c r="I891" s="6">
        <v>2</v>
      </c>
      <c r="J891" s="25">
        <v>1.44</v>
      </c>
      <c r="K891" s="25">
        <v>21.98</v>
      </c>
      <c r="L891" s="9">
        <v>2</v>
      </c>
      <c r="M891" s="39" t="str">
        <f t="shared" si="26"/>
        <v>Normal Transaction</v>
      </c>
    </row>
    <row r="892" spans="1:13" x14ac:dyDescent="0.35">
      <c r="A892" s="27">
        <v>891</v>
      </c>
      <c r="B892" s="2" t="s">
        <v>0</v>
      </c>
      <c r="C892" s="2" t="s">
        <v>14</v>
      </c>
      <c r="D892" s="2" t="s">
        <v>8</v>
      </c>
      <c r="E892" s="2" t="s">
        <v>9</v>
      </c>
      <c r="F892" s="9" t="s">
        <v>10</v>
      </c>
      <c r="G892" s="9" t="str">
        <f t="shared" si="27"/>
        <v>Stationery</v>
      </c>
      <c r="H892" s="25">
        <v>18.309999999999999</v>
      </c>
      <c r="I892" s="6">
        <v>9</v>
      </c>
      <c r="J892" s="25">
        <v>11.54</v>
      </c>
      <c r="K892" s="25">
        <v>176.33</v>
      </c>
      <c r="L892" s="9">
        <v>0</v>
      </c>
      <c r="M892" s="39" t="str">
        <f t="shared" si="26"/>
        <v>Normal Transaction</v>
      </c>
    </row>
    <row r="893" spans="1:13" x14ac:dyDescent="0.35">
      <c r="A893" s="27">
        <v>892</v>
      </c>
      <c r="B893" s="2" t="s">
        <v>0</v>
      </c>
      <c r="C893" s="2" t="s">
        <v>14</v>
      </c>
      <c r="D893" s="2" t="s">
        <v>2</v>
      </c>
      <c r="E893" s="2" t="s">
        <v>3</v>
      </c>
      <c r="F893" s="9" t="s">
        <v>4</v>
      </c>
      <c r="G893" s="9" t="str">
        <f t="shared" si="27"/>
        <v>Personal Care</v>
      </c>
      <c r="H893" s="25">
        <v>5.95</v>
      </c>
      <c r="I893" s="6">
        <v>3</v>
      </c>
      <c r="J893" s="25">
        <v>1.25</v>
      </c>
      <c r="K893" s="25">
        <v>19.100000000000001</v>
      </c>
      <c r="L893" s="9">
        <v>1</v>
      </c>
      <c r="M893" s="39" t="str">
        <f t="shared" si="26"/>
        <v>Normal Transaction</v>
      </c>
    </row>
    <row r="894" spans="1:13" x14ac:dyDescent="0.35">
      <c r="A894" s="27">
        <v>893</v>
      </c>
      <c r="B894" s="2" t="s">
        <v>6</v>
      </c>
      <c r="C894" s="2" t="s">
        <v>7</v>
      </c>
      <c r="D894" s="2" t="s">
        <v>8</v>
      </c>
      <c r="E894" s="2" t="s">
        <v>9</v>
      </c>
      <c r="F894" s="9" t="s">
        <v>4</v>
      </c>
      <c r="G894" s="9" t="str">
        <f t="shared" si="27"/>
        <v>Personal Care</v>
      </c>
      <c r="H894" s="25">
        <v>7.27</v>
      </c>
      <c r="I894" s="6">
        <v>16</v>
      </c>
      <c r="J894" s="25">
        <v>8.14</v>
      </c>
      <c r="K894" s="25">
        <v>124.46</v>
      </c>
      <c r="L894" s="9">
        <v>0</v>
      </c>
      <c r="M894" s="39" t="str">
        <f t="shared" si="26"/>
        <v>Normal Transaction</v>
      </c>
    </row>
    <row r="895" spans="1:13" x14ac:dyDescent="0.35">
      <c r="A895" s="27">
        <v>894</v>
      </c>
      <c r="B895" s="2" t="s">
        <v>0</v>
      </c>
      <c r="C895" s="2" t="s">
        <v>14</v>
      </c>
      <c r="D895" s="2" t="s">
        <v>8</v>
      </c>
      <c r="E895" s="2" t="s">
        <v>3</v>
      </c>
      <c r="F895" s="9" t="s">
        <v>12</v>
      </c>
      <c r="G895" s="9" t="str">
        <f t="shared" si="27"/>
        <v>Fruits</v>
      </c>
      <c r="H895" s="25">
        <v>9.82</v>
      </c>
      <c r="I895" s="6">
        <v>14</v>
      </c>
      <c r="J895" s="25">
        <v>9.6199999999999992</v>
      </c>
      <c r="K895" s="25">
        <v>147.1</v>
      </c>
      <c r="L895" s="9">
        <v>0</v>
      </c>
      <c r="M895" s="39" t="str">
        <f t="shared" si="26"/>
        <v>Normal Transaction</v>
      </c>
    </row>
    <row r="896" spans="1:13" x14ac:dyDescent="0.35">
      <c r="A896" s="27">
        <v>895</v>
      </c>
      <c r="B896" s="2" t="s">
        <v>0</v>
      </c>
      <c r="C896" s="2" t="s">
        <v>14</v>
      </c>
      <c r="D896" s="2" t="s">
        <v>2</v>
      </c>
      <c r="E896" s="2" t="s">
        <v>3</v>
      </c>
      <c r="F896" s="9" t="s">
        <v>15</v>
      </c>
      <c r="G896" s="9" t="str">
        <f t="shared" si="27"/>
        <v>Household</v>
      </c>
      <c r="H896" s="25">
        <v>8.24</v>
      </c>
      <c r="I896" s="6">
        <v>13</v>
      </c>
      <c r="J896" s="25">
        <v>7.5</v>
      </c>
      <c r="K896" s="25">
        <v>114.62</v>
      </c>
      <c r="L896" s="9">
        <v>11</v>
      </c>
      <c r="M896" s="39" t="str">
        <f t="shared" si="26"/>
        <v>Normal Transaction</v>
      </c>
    </row>
    <row r="897" spans="1:13" x14ac:dyDescent="0.35">
      <c r="A897" s="27">
        <v>896</v>
      </c>
      <c r="B897" s="2" t="s">
        <v>6</v>
      </c>
      <c r="C897" s="2" t="s">
        <v>7</v>
      </c>
      <c r="D897" s="2" t="s">
        <v>2</v>
      </c>
      <c r="E897" s="2" t="s">
        <v>9</v>
      </c>
      <c r="F897" s="9" t="s">
        <v>17</v>
      </c>
      <c r="G897" s="9" t="str">
        <f t="shared" si="27"/>
        <v>Beverages</v>
      </c>
      <c r="H897" s="25">
        <v>4.54</v>
      </c>
      <c r="I897" s="6">
        <v>10</v>
      </c>
      <c r="J897" s="25">
        <v>3.18</v>
      </c>
      <c r="K897" s="25">
        <v>48.58</v>
      </c>
      <c r="L897" s="9">
        <v>4</v>
      </c>
      <c r="M897" s="39" t="str">
        <f t="shared" si="26"/>
        <v>Normal Transaction</v>
      </c>
    </row>
    <row r="898" spans="1:13" x14ac:dyDescent="0.35">
      <c r="A898" s="27">
        <v>897</v>
      </c>
      <c r="B898" s="2" t="s">
        <v>31</v>
      </c>
      <c r="C898" s="2" t="s">
        <v>1</v>
      </c>
      <c r="D898" s="2" t="s">
        <v>8</v>
      </c>
      <c r="E898" s="2" t="s">
        <v>9</v>
      </c>
      <c r="F898" s="9" t="s">
        <v>10</v>
      </c>
      <c r="G898" s="9" t="str">
        <f t="shared" si="27"/>
        <v>Stationery</v>
      </c>
      <c r="H898" s="25">
        <v>17.649999999999999</v>
      </c>
      <c r="I898" s="6">
        <v>5</v>
      </c>
      <c r="J898" s="25">
        <v>6.18</v>
      </c>
      <c r="K898" s="25">
        <v>94.43</v>
      </c>
      <c r="L898" s="9">
        <v>0</v>
      </c>
      <c r="M898" s="39" t="str">
        <f t="shared" ref="M898:M961" si="28">IF(K898 &gt; 382.93, "Outlier (Extreme Spend)", "Normal Transaction")</f>
        <v>Normal Transaction</v>
      </c>
    </row>
    <row r="899" spans="1:13" x14ac:dyDescent="0.35">
      <c r="A899" s="27">
        <v>898</v>
      </c>
      <c r="B899" s="2" t="s">
        <v>6</v>
      </c>
      <c r="C899" s="2" t="s">
        <v>7</v>
      </c>
      <c r="D899" s="2" t="s">
        <v>8</v>
      </c>
      <c r="E899" s="2" t="s">
        <v>9</v>
      </c>
      <c r="F899" s="9" t="s">
        <v>12</v>
      </c>
      <c r="G899" s="9" t="str">
        <f t="shared" ref="G899:G962" si="29">_xlfn.XLOOKUP(F899,$Q$2:$Q$6,$R$2:$R$6,"Unknown")</f>
        <v>Fruits</v>
      </c>
      <c r="H899" s="25">
        <v>1.54</v>
      </c>
      <c r="I899" s="6">
        <v>19</v>
      </c>
      <c r="J899" s="25">
        <v>2.0499999999999998</v>
      </c>
      <c r="K899" s="25">
        <v>31.31</v>
      </c>
      <c r="L899" s="9">
        <v>0</v>
      </c>
      <c r="M899" s="39" t="str">
        <f t="shared" si="28"/>
        <v>Normal Transaction</v>
      </c>
    </row>
    <row r="900" spans="1:13" x14ac:dyDescent="0.35">
      <c r="A900" s="27">
        <v>899</v>
      </c>
      <c r="B900" s="2" t="s">
        <v>0</v>
      </c>
      <c r="C900" s="2" t="s">
        <v>14</v>
      </c>
      <c r="D900" s="2" t="s">
        <v>8</v>
      </c>
      <c r="E900" s="2" t="s">
        <v>9</v>
      </c>
      <c r="F900" s="9" t="s">
        <v>10</v>
      </c>
      <c r="G900" s="9" t="str">
        <f t="shared" si="29"/>
        <v>Stationery</v>
      </c>
      <c r="H900" s="25">
        <v>7.33</v>
      </c>
      <c r="I900" s="6">
        <v>1</v>
      </c>
      <c r="J900" s="25">
        <v>0.51</v>
      </c>
      <c r="K900" s="25">
        <v>7.84</v>
      </c>
      <c r="L900" s="9">
        <v>0</v>
      </c>
      <c r="M900" s="39" t="str">
        <f t="shared" si="28"/>
        <v>Normal Transaction</v>
      </c>
    </row>
    <row r="901" spans="1:13" x14ac:dyDescent="0.35">
      <c r="A901" s="27">
        <v>900</v>
      </c>
      <c r="B901" s="2" t="s">
        <v>6</v>
      </c>
      <c r="C901" s="2" t="s">
        <v>7</v>
      </c>
      <c r="D901" s="2" t="s">
        <v>8</v>
      </c>
      <c r="E901" s="2" t="s">
        <v>3</v>
      </c>
      <c r="F901" s="9" t="s">
        <v>17</v>
      </c>
      <c r="G901" s="9" t="str">
        <f t="shared" si="29"/>
        <v>Beverages</v>
      </c>
      <c r="H901" s="25">
        <v>5.36</v>
      </c>
      <c r="I901" s="6">
        <v>2</v>
      </c>
      <c r="J901" s="25">
        <v>0.75</v>
      </c>
      <c r="K901" s="25">
        <v>11.47</v>
      </c>
      <c r="L901" s="9">
        <v>0</v>
      </c>
      <c r="M901" s="39" t="str">
        <f t="shared" si="28"/>
        <v>Normal Transaction</v>
      </c>
    </row>
    <row r="902" spans="1:13" x14ac:dyDescent="0.35">
      <c r="A902" s="27">
        <v>901</v>
      </c>
      <c r="B902" s="2" t="s">
        <v>0</v>
      </c>
      <c r="C902" s="2" t="s">
        <v>14</v>
      </c>
      <c r="D902" s="2" t="s">
        <v>2</v>
      </c>
      <c r="E902" s="2" t="s">
        <v>3</v>
      </c>
      <c r="F902" s="9" t="s">
        <v>12</v>
      </c>
      <c r="G902" s="9" t="str">
        <f t="shared" si="29"/>
        <v>Fruits</v>
      </c>
      <c r="H902" s="25">
        <v>16.100000000000001</v>
      </c>
      <c r="I902" s="6">
        <v>6</v>
      </c>
      <c r="J902" s="25">
        <v>6.76</v>
      </c>
      <c r="K902" s="25">
        <v>103.36</v>
      </c>
      <c r="L902" s="9">
        <v>10</v>
      </c>
      <c r="M902" s="39" t="str">
        <f t="shared" si="28"/>
        <v>Normal Transaction</v>
      </c>
    </row>
    <row r="903" spans="1:13" x14ac:dyDescent="0.35">
      <c r="A903" s="27">
        <v>902</v>
      </c>
      <c r="B903" s="2" t="s">
        <v>31</v>
      </c>
      <c r="C903" s="2" t="s">
        <v>1</v>
      </c>
      <c r="D903" s="2" t="s">
        <v>8</v>
      </c>
      <c r="E903" s="2" t="s">
        <v>3</v>
      </c>
      <c r="F903" s="9" t="s">
        <v>15</v>
      </c>
      <c r="G903" s="9" t="str">
        <f t="shared" si="29"/>
        <v>Household</v>
      </c>
      <c r="H903" s="25">
        <v>13.4</v>
      </c>
      <c r="I903" s="6">
        <v>17</v>
      </c>
      <c r="J903" s="25">
        <v>15.95</v>
      </c>
      <c r="K903" s="25">
        <v>243.75</v>
      </c>
      <c r="L903" s="9">
        <v>0</v>
      </c>
      <c r="M903" s="39" t="str">
        <f t="shared" si="28"/>
        <v>Normal Transaction</v>
      </c>
    </row>
    <row r="904" spans="1:13" x14ac:dyDescent="0.35">
      <c r="A904" s="27">
        <v>903</v>
      </c>
      <c r="B904" s="2" t="s">
        <v>6</v>
      </c>
      <c r="C904" s="2" t="s">
        <v>7</v>
      </c>
      <c r="D904" s="2" t="s">
        <v>2</v>
      </c>
      <c r="E904" s="2" t="s">
        <v>3</v>
      </c>
      <c r="F904" s="9" t="s">
        <v>4</v>
      </c>
      <c r="G904" s="9" t="str">
        <f t="shared" si="29"/>
        <v>Personal Care</v>
      </c>
      <c r="H904" s="25">
        <v>20.92</v>
      </c>
      <c r="I904" s="6">
        <v>18</v>
      </c>
      <c r="J904" s="25">
        <v>26.36</v>
      </c>
      <c r="K904" s="25">
        <v>402.92</v>
      </c>
      <c r="L904" s="9">
        <v>40</v>
      </c>
      <c r="M904" s="39" t="str">
        <f t="shared" si="28"/>
        <v>Outlier (Extreme Spend)</v>
      </c>
    </row>
    <row r="905" spans="1:13" x14ac:dyDescent="0.35">
      <c r="A905" s="27">
        <v>904</v>
      </c>
      <c r="B905" s="2" t="s">
        <v>0</v>
      </c>
      <c r="C905" s="2" t="s">
        <v>14</v>
      </c>
      <c r="D905" s="2" t="s">
        <v>2</v>
      </c>
      <c r="E905" s="2" t="s">
        <v>9</v>
      </c>
      <c r="F905" s="9" t="s">
        <v>4</v>
      </c>
      <c r="G905" s="9" t="str">
        <f t="shared" si="29"/>
        <v>Personal Care</v>
      </c>
      <c r="H905" s="25">
        <v>18.41</v>
      </c>
      <c r="I905" s="6">
        <v>7</v>
      </c>
      <c r="J905" s="25">
        <v>9.02</v>
      </c>
      <c r="K905" s="25">
        <v>137.88999999999999</v>
      </c>
      <c r="L905" s="9">
        <v>13</v>
      </c>
      <c r="M905" s="39" t="str">
        <f t="shared" si="28"/>
        <v>Normal Transaction</v>
      </c>
    </row>
    <row r="906" spans="1:13" x14ac:dyDescent="0.35">
      <c r="A906" s="27">
        <v>905</v>
      </c>
      <c r="B906" s="2" t="s">
        <v>6</v>
      </c>
      <c r="C906" s="2" t="s">
        <v>7</v>
      </c>
      <c r="D906" s="2" t="s">
        <v>2</v>
      </c>
      <c r="E906" s="2" t="s">
        <v>3</v>
      </c>
      <c r="F906" s="9" t="s">
        <v>10</v>
      </c>
      <c r="G906" s="9" t="str">
        <f t="shared" si="29"/>
        <v>Stationery</v>
      </c>
      <c r="H906" s="25">
        <v>20.260000000000002</v>
      </c>
      <c r="I906" s="6">
        <v>2</v>
      </c>
      <c r="J906" s="25">
        <v>2.84</v>
      </c>
      <c r="K906" s="25">
        <v>43.36</v>
      </c>
      <c r="L906" s="9">
        <v>4</v>
      </c>
      <c r="M906" s="39" t="str">
        <f t="shared" si="28"/>
        <v>Normal Transaction</v>
      </c>
    </row>
    <row r="907" spans="1:13" x14ac:dyDescent="0.35">
      <c r="A907" s="27">
        <v>906</v>
      </c>
      <c r="B907" s="2" t="s">
        <v>31</v>
      </c>
      <c r="C907" s="2" t="s">
        <v>1</v>
      </c>
      <c r="D907" s="2" t="s">
        <v>8</v>
      </c>
      <c r="E907" s="2" t="s">
        <v>3</v>
      </c>
      <c r="F907" s="9" t="s">
        <v>15</v>
      </c>
      <c r="G907" s="9" t="str">
        <f t="shared" si="29"/>
        <v>Household</v>
      </c>
      <c r="H907" s="25">
        <v>20.68</v>
      </c>
      <c r="I907" s="6">
        <v>14</v>
      </c>
      <c r="J907" s="25">
        <v>20.27</v>
      </c>
      <c r="K907" s="25">
        <v>309.79000000000002</v>
      </c>
      <c r="L907" s="9">
        <v>0</v>
      </c>
      <c r="M907" s="39" t="str">
        <f t="shared" si="28"/>
        <v>Normal Transaction</v>
      </c>
    </row>
    <row r="908" spans="1:13" x14ac:dyDescent="0.35">
      <c r="A908" s="27">
        <v>907</v>
      </c>
      <c r="B908" s="2" t="s">
        <v>0</v>
      </c>
      <c r="C908" s="2" t="s">
        <v>14</v>
      </c>
      <c r="D908" s="2" t="s">
        <v>2</v>
      </c>
      <c r="E908" s="2" t="s">
        <v>9</v>
      </c>
      <c r="F908" s="9" t="s">
        <v>4</v>
      </c>
      <c r="G908" s="9" t="str">
        <f t="shared" si="29"/>
        <v>Personal Care</v>
      </c>
      <c r="H908" s="25">
        <v>16.57</v>
      </c>
      <c r="I908" s="6">
        <v>17</v>
      </c>
      <c r="J908" s="25">
        <v>19.72</v>
      </c>
      <c r="K908" s="25">
        <v>301.41000000000003</v>
      </c>
      <c r="L908" s="9">
        <v>30</v>
      </c>
      <c r="M908" s="39" t="str">
        <f t="shared" si="28"/>
        <v>Normal Transaction</v>
      </c>
    </row>
    <row r="909" spans="1:13" x14ac:dyDescent="0.35">
      <c r="A909" s="27">
        <v>908</v>
      </c>
      <c r="B909" s="2" t="s">
        <v>6</v>
      </c>
      <c r="C909" s="2" t="s">
        <v>7</v>
      </c>
      <c r="D909" s="2" t="s">
        <v>8</v>
      </c>
      <c r="E909" s="2" t="s">
        <v>3</v>
      </c>
      <c r="F909" s="9" t="s">
        <v>15</v>
      </c>
      <c r="G909" s="9" t="str">
        <f t="shared" si="29"/>
        <v>Household</v>
      </c>
      <c r="H909" s="25">
        <v>5.33</v>
      </c>
      <c r="I909" s="6">
        <v>2</v>
      </c>
      <c r="J909" s="25">
        <v>0.75</v>
      </c>
      <c r="K909" s="25">
        <v>11.41</v>
      </c>
      <c r="L909" s="9">
        <v>0</v>
      </c>
      <c r="M909" s="39" t="str">
        <f t="shared" si="28"/>
        <v>Normal Transaction</v>
      </c>
    </row>
    <row r="910" spans="1:13" x14ac:dyDescent="0.35">
      <c r="A910" s="27">
        <v>909</v>
      </c>
      <c r="B910" s="2" t="s">
        <v>31</v>
      </c>
      <c r="C910" s="2" t="s">
        <v>1</v>
      </c>
      <c r="D910" s="2" t="s">
        <v>2</v>
      </c>
      <c r="E910" s="2" t="s">
        <v>9</v>
      </c>
      <c r="F910" s="9" t="s">
        <v>17</v>
      </c>
      <c r="G910" s="9" t="str">
        <f t="shared" si="29"/>
        <v>Beverages</v>
      </c>
      <c r="H910" s="25">
        <v>16.32</v>
      </c>
      <c r="I910" s="6">
        <v>17</v>
      </c>
      <c r="J910" s="25">
        <v>19.420000000000002</v>
      </c>
      <c r="K910" s="25">
        <v>296.86</v>
      </c>
      <c r="L910" s="9">
        <v>29</v>
      </c>
      <c r="M910" s="39" t="str">
        <f t="shared" si="28"/>
        <v>Normal Transaction</v>
      </c>
    </row>
    <row r="911" spans="1:13" x14ac:dyDescent="0.35">
      <c r="A911" s="27">
        <v>910</v>
      </c>
      <c r="B911" s="2" t="s">
        <v>6</v>
      </c>
      <c r="C911" s="2" t="s">
        <v>7</v>
      </c>
      <c r="D911" s="2" t="s">
        <v>2</v>
      </c>
      <c r="E911" s="2" t="s">
        <v>3</v>
      </c>
      <c r="F911" s="9" t="s">
        <v>4</v>
      </c>
      <c r="G911" s="9" t="str">
        <f t="shared" si="29"/>
        <v>Personal Care</v>
      </c>
      <c r="H911" s="25">
        <v>10.119999999999999</v>
      </c>
      <c r="I911" s="6">
        <v>12</v>
      </c>
      <c r="J911" s="25">
        <v>8.5</v>
      </c>
      <c r="K911" s="25">
        <v>129.94</v>
      </c>
      <c r="L911" s="9">
        <v>12</v>
      </c>
      <c r="M911" s="39" t="str">
        <f t="shared" si="28"/>
        <v>Normal Transaction</v>
      </c>
    </row>
    <row r="912" spans="1:13" x14ac:dyDescent="0.35">
      <c r="A912" s="27">
        <v>911</v>
      </c>
      <c r="B912" s="2" t="s">
        <v>0</v>
      </c>
      <c r="C912" s="2" t="s">
        <v>14</v>
      </c>
      <c r="D912" s="2" t="s">
        <v>2</v>
      </c>
      <c r="E912" s="2" t="s">
        <v>3</v>
      </c>
      <c r="F912" s="9" t="s">
        <v>4</v>
      </c>
      <c r="G912" s="9" t="str">
        <f t="shared" si="29"/>
        <v>Personal Care</v>
      </c>
      <c r="H912" s="25">
        <v>10.51</v>
      </c>
      <c r="I912" s="6">
        <v>5</v>
      </c>
      <c r="J912" s="25">
        <v>3.68</v>
      </c>
      <c r="K912" s="25">
        <v>56.23</v>
      </c>
      <c r="L912" s="9">
        <v>5</v>
      </c>
      <c r="M912" s="39" t="str">
        <f t="shared" si="28"/>
        <v>Normal Transaction</v>
      </c>
    </row>
    <row r="913" spans="1:13" x14ac:dyDescent="0.35">
      <c r="A913" s="27">
        <v>912</v>
      </c>
      <c r="B913" s="2" t="s">
        <v>31</v>
      </c>
      <c r="C913" s="2" t="s">
        <v>1</v>
      </c>
      <c r="D913" s="2" t="s">
        <v>8</v>
      </c>
      <c r="E913" s="2" t="s">
        <v>9</v>
      </c>
      <c r="F913" s="9" t="s">
        <v>10</v>
      </c>
      <c r="G913" s="9" t="str">
        <f t="shared" si="29"/>
        <v>Stationery</v>
      </c>
      <c r="H913" s="25">
        <v>6.32</v>
      </c>
      <c r="I913" s="6">
        <v>4</v>
      </c>
      <c r="J913" s="25">
        <v>1.77</v>
      </c>
      <c r="K913" s="25">
        <v>27.05</v>
      </c>
      <c r="L913" s="9">
        <v>0</v>
      </c>
      <c r="M913" s="39" t="str">
        <f t="shared" si="28"/>
        <v>Normal Transaction</v>
      </c>
    </row>
    <row r="914" spans="1:13" x14ac:dyDescent="0.35">
      <c r="A914" s="27">
        <v>913</v>
      </c>
      <c r="B914" s="2" t="s">
        <v>31</v>
      </c>
      <c r="C914" s="2" t="s">
        <v>1</v>
      </c>
      <c r="D914" s="2" t="s">
        <v>2</v>
      </c>
      <c r="E914" s="2" t="s">
        <v>3</v>
      </c>
      <c r="F914" s="9" t="s">
        <v>15</v>
      </c>
      <c r="G914" s="9" t="str">
        <f t="shared" si="29"/>
        <v>Household</v>
      </c>
      <c r="H914" s="25">
        <v>12.12</v>
      </c>
      <c r="I914" s="6">
        <v>9</v>
      </c>
      <c r="J914" s="25">
        <v>7.64</v>
      </c>
      <c r="K914" s="25">
        <v>116.72</v>
      </c>
      <c r="L914" s="9">
        <v>11</v>
      </c>
      <c r="M914" s="39" t="str">
        <f t="shared" si="28"/>
        <v>Normal Transaction</v>
      </c>
    </row>
    <row r="915" spans="1:13" x14ac:dyDescent="0.35">
      <c r="A915" s="27">
        <v>914</v>
      </c>
      <c r="B915" s="2" t="s">
        <v>31</v>
      </c>
      <c r="C915" s="2" t="s">
        <v>1</v>
      </c>
      <c r="D915" s="2" t="s">
        <v>2</v>
      </c>
      <c r="E915" s="2" t="s">
        <v>9</v>
      </c>
      <c r="F915" s="9" t="s">
        <v>12</v>
      </c>
      <c r="G915" s="9" t="str">
        <f t="shared" si="29"/>
        <v>Fruits</v>
      </c>
      <c r="H915" s="25">
        <v>10.69</v>
      </c>
      <c r="I915" s="6">
        <v>2</v>
      </c>
      <c r="J915" s="25">
        <v>1.5</v>
      </c>
      <c r="K915" s="25">
        <v>22.88</v>
      </c>
      <c r="L915" s="9">
        <v>2</v>
      </c>
      <c r="M915" s="39" t="str">
        <f t="shared" si="28"/>
        <v>Normal Transaction</v>
      </c>
    </row>
    <row r="916" spans="1:13" x14ac:dyDescent="0.35">
      <c r="A916" s="27">
        <v>915</v>
      </c>
      <c r="B916" s="2" t="s">
        <v>0</v>
      </c>
      <c r="C916" s="2" t="s">
        <v>14</v>
      </c>
      <c r="D916" s="2" t="s">
        <v>2</v>
      </c>
      <c r="E916" s="2" t="s">
        <v>3</v>
      </c>
      <c r="F916" s="9" t="s">
        <v>15</v>
      </c>
      <c r="G916" s="9" t="str">
        <f t="shared" si="29"/>
        <v>Household</v>
      </c>
      <c r="H916" s="25">
        <v>15.85</v>
      </c>
      <c r="I916" s="6">
        <v>16</v>
      </c>
      <c r="J916" s="25">
        <v>17.75</v>
      </c>
      <c r="K916" s="25">
        <v>271.35000000000002</v>
      </c>
      <c r="L916" s="9">
        <v>27</v>
      </c>
      <c r="M916" s="39" t="str">
        <f t="shared" si="28"/>
        <v>Normal Transaction</v>
      </c>
    </row>
    <row r="917" spans="1:13" x14ac:dyDescent="0.35">
      <c r="A917" s="27">
        <v>916</v>
      </c>
      <c r="B917" s="2" t="s">
        <v>0</v>
      </c>
      <c r="C917" s="2" t="s">
        <v>14</v>
      </c>
      <c r="D917" s="2" t="s">
        <v>8</v>
      </c>
      <c r="E917" s="2" t="s">
        <v>3</v>
      </c>
      <c r="F917" s="9" t="s">
        <v>12</v>
      </c>
      <c r="G917" s="9" t="str">
        <f t="shared" si="29"/>
        <v>Fruits</v>
      </c>
      <c r="H917" s="25">
        <v>4.5999999999999996</v>
      </c>
      <c r="I917" s="6">
        <v>7</v>
      </c>
      <c r="J917" s="25">
        <v>2.25</v>
      </c>
      <c r="K917" s="25">
        <v>34.450000000000003</v>
      </c>
      <c r="L917" s="9">
        <v>0</v>
      </c>
      <c r="M917" s="39" t="str">
        <f t="shared" si="28"/>
        <v>Normal Transaction</v>
      </c>
    </row>
    <row r="918" spans="1:13" x14ac:dyDescent="0.35">
      <c r="A918" s="27">
        <v>917</v>
      </c>
      <c r="B918" s="2" t="s">
        <v>31</v>
      </c>
      <c r="C918" s="2" t="s">
        <v>1</v>
      </c>
      <c r="D918" s="2" t="s">
        <v>8</v>
      </c>
      <c r="E918" s="2" t="s">
        <v>9</v>
      </c>
      <c r="F918" s="9" t="s">
        <v>12</v>
      </c>
      <c r="G918" s="9" t="str">
        <f t="shared" si="29"/>
        <v>Fruits</v>
      </c>
      <c r="H918" s="25">
        <v>5.18</v>
      </c>
      <c r="I918" s="6">
        <v>3</v>
      </c>
      <c r="J918" s="25">
        <v>1.0900000000000001</v>
      </c>
      <c r="K918" s="25">
        <v>16.63</v>
      </c>
      <c r="L918" s="9">
        <v>0</v>
      </c>
      <c r="M918" s="39" t="str">
        <f t="shared" si="28"/>
        <v>Normal Transaction</v>
      </c>
    </row>
    <row r="919" spans="1:13" x14ac:dyDescent="0.35">
      <c r="A919" s="27">
        <v>918</v>
      </c>
      <c r="B919" s="2" t="s">
        <v>31</v>
      </c>
      <c r="C919" s="2" t="s">
        <v>1</v>
      </c>
      <c r="D919" s="2" t="s">
        <v>2</v>
      </c>
      <c r="E919" s="2" t="s">
        <v>3</v>
      </c>
      <c r="F919" s="9" t="s">
        <v>17</v>
      </c>
      <c r="G919" s="9" t="str">
        <f t="shared" si="29"/>
        <v>Beverages</v>
      </c>
      <c r="H919" s="25">
        <v>6.64</v>
      </c>
      <c r="I919" s="6">
        <v>11</v>
      </c>
      <c r="J919" s="25">
        <v>5.1100000000000003</v>
      </c>
      <c r="K919" s="25">
        <v>78.150000000000006</v>
      </c>
      <c r="L919" s="9">
        <v>7</v>
      </c>
      <c r="M919" s="39" t="str">
        <f t="shared" si="28"/>
        <v>Normal Transaction</v>
      </c>
    </row>
    <row r="920" spans="1:13" x14ac:dyDescent="0.35">
      <c r="A920" s="27">
        <v>919</v>
      </c>
      <c r="B920" s="2" t="s">
        <v>31</v>
      </c>
      <c r="C920" s="2" t="s">
        <v>1</v>
      </c>
      <c r="D920" s="2" t="s">
        <v>2</v>
      </c>
      <c r="E920" s="2" t="s">
        <v>9</v>
      </c>
      <c r="F920" s="9" t="s">
        <v>12</v>
      </c>
      <c r="G920" s="9" t="str">
        <f t="shared" si="29"/>
        <v>Fruits</v>
      </c>
      <c r="H920" s="25">
        <v>16.03</v>
      </c>
      <c r="I920" s="6">
        <v>19</v>
      </c>
      <c r="J920" s="25">
        <v>21.32</v>
      </c>
      <c r="K920" s="25">
        <v>325.89</v>
      </c>
      <c r="L920" s="9">
        <v>32</v>
      </c>
      <c r="M920" s="39" t="str">
        <f t="shared" si="28"/>
        <v>Normal Transaction</v>
      </c>
    </row>
    <row r="921" spans="1:13" x14ac:dyDescent="0.35">
      <c r="A921" s="27">
        <v>920</v>
      </c>
      <c r="B921" s="2" t="s">
        <v>6</v>
      </c>
      <c r="C921" s="2" t="s">
        <v>7</v>
      </c>
      <c r="D921" s="2" t="s">
        <v>8</v>
      </c>
      <c r="E921" s="2" t="s">
        <v>9</v>
      </c>
      <c r="F921" s="9" t="s">
        <v>4</v>
      </c>
      <c r="G921" s="9" t="str">
        <f t="shared" si="29"/>
        <v>Personal Care</v>
      </c>
      <c r="H921" s="25">
        <v>14.18</v>
      </c>
      <c r="I921" s="6">
        <v>12</v>
      </c>
      <c r="J921" s="25">
        <v>11.91</v>
      </c>
      <c r="K921" s="25">
        <v>182.07</v>
      </c>
      <c r="L921" s="9">
        <v>0</v>
      </c>
      <c r="M921" s="39" t="str">
        <f t="shared" si="28"/>
        <v>Normal Transaction</v>
      </c>
    </row>
    <row r="922" spans="1:13" x14ac:dyDescent="0.35">
      <c r="A922" s="27">
        <v>921</v>
      </c>
      <c r="B922" s="2" t="s">
        <v>0</v>
      </c>
      <c r="C922" s="2" t="s">
        <v>14</v>
      </c>
      <c r="D922" s="2" t="s">
        <v>2</v>
      </c>
      <c r="E922" s="2" t="s">
        <v>9</v>
      </c>
      <c r="F922" s="9" t="s">
        <v>15</v>
      </c>
      <c r="G922" s="9" t="str">
        <f t="shared" si="29"/>
        <v>Household</v>
      </c>
      <c r="H922" s="25">
        <v>17.989999999999998</v>
      </c>
      <c r="I922" s="6">
        <v>12</v>
      </c>
      <c r="J922" s="25">
        <v>15.11</v>
      </c>
      <c r="K922" s="25">
        <v>230.99</v>
      </c>
      <c r="L922" s="9">
        <v>23</v>
      </c>
      <c r="M922" s="39" t="str">
        <f t="shared" si="28"/>
        <v>Normal Transaction</v>
      </c>
    </row>
    <row r="923" spans="1:13" x14ac:dyDescent="0.35">
      <c r="A923" s="27">
        <v>922</v>
      </c>
      <c r="B923" s="2" t="s">
        <v>31</v>
      </c>
      <c r="C923" s="2" t="s">
        <v>1</v>
      </c>
      <c r="D923" s="2" t="s">
        <v>2</v>
      </c>
      <c r="E923" s="2" t="s">
        <v>9</v>
      </c>
      <c r="F923" s="9" t="s">
        <v>4</v>
      </c>
      <c r="G923" s="9" t="str">
        <f t="shared" si="29"/>
        <v>Personal Care</v>
      </c>
      <c r="H923" s="25">
        <v>12.99</v>
      </c>
      <c r="I923" s="6">
        <v>13</v>
      </c>
      <c r="J923" s="25">
        <v>11.82</v>
      </c>
      <c r="K923" s="25">
        <v>180.69</v>
      </c>
      <c r="L923" s="9">
        <v>18</v>
      </c>
      <c r="M923" s="39" t="str">
        <f t="shared" si="28"/>
        <v>Normal Transaction</v>
      </c>
    </row>
    <row r="924" spans="1:13" x14ac:dyDescent="0.35">
      <c r="A924" s="27">
        <v>923</v>
      </c>
      <c r="B924" s="2" t="s">
        <v>31</v>
      </c>
      <c r="C924" s="2" t="s">
        <v>1</v>
      </c>
      <c r="D924" s="2" t="s">
        <v>2</v>
      </c>
      <c r="E924" s="2" t="s">
        <v>9</v>
      </c>
      <c r="F924" s="9" t="s">
        <v>12</v>
      </c>
      <c r="G924" s="9" t="str">
        <f t="shared" si="29"/>
        <v>Fruits</v>
      </c>
      <c r="H924" s="25">
        <v>13.91</v>
      </c>
      <c r="I924" s="6">
        <v>4</v>
      </c>
      <c r="J924" s="25">
        <v>3.89</v>
      </c>
      <c r="K924" s="25">
        <v>59.53</v>
      </c>
      <c r="L924" s="9">
        <v>5</v>
      </c>
      <c r="M924" s="39" t="str">
        <f t="shared" si="28"/>
        <v>Normal Transaction</v>
      </c>
    </row>
    <row r="925" spans="1:13" x14ac:dyDescent="0.35">
      <c r="A925" s="27">
        <v>924</v>
      </c>
      <c r="B925" s="2" t="s">
        <v>31</v>
      </c>
      <c r="C925" s="2" t="s">
        <v>1</v>
      </c>
      <c r="D925" s="2" t="s">
        <v>8</v>
      </c>
      <c r="E925" s="2" t="s">
        <v>3</v>
      </c>
      <c r="F925" s="9" t="s">
        <v>17</v>
      </c>
      <c r="G925" s="9" t="str">
        <f t="shared" si="29"/>
        <v>Beverages</v>
      </c>
      <c r="H925" s="25">
        <v>2.23</v>
      </c>
      <c r="I925" s="6">
        <v>3</v>
      </c>
      <c r="J925" s="25">
        <v>0.47</v>
      </c>
      <c r="K925" s="25">
        <v>7.16</v>
      </c>
      <c r="L925" s="9">
        <v>0</v>
      </c>
      <c r="M925" s="39" t="str">
        <f t="shared" si="28"/>
        <v>Normal Transaction</v>
      </c>
    </row>
    <row r="926" spans="1:13" x14ac:dyDescent="0.35">
      <c r="A926" s="27">
        <v>925</v>
      </c>
      <c r="B926" s="2" t="s">
        <v>6</v>
      </c>
      <c r="C926" s="2" t="s">
        <v>7</v>
      </c>
      <c r="D926" s="2" t="s">
        <v>2</v>
      </c>
      <c r="E926" s="2" t="s">
        <v>9</v>
      </c>
      <c r="F926" s="9" t="s">
        <v>10</v>
      </c>
      <c r="G926" s="9" t="str">
        <f t="shared" si="29"/>
        <v>Stationery</v>
      </c>
      <c r="H926" s="25">
        <v>19.96</v>
      </c>
      <c r="I926" s="6">
        <v>4</v>
      </c>
      <c r="J926" s="25">
        <v>5.59</v>
      </c>
      <c r="K926" s="25">
        <v>85.43</v>
      </c>
      <c r="L926" s="9">
        <v>8</v>
      </c>
      <c r="M926" s="39" t="str">
        <f t="shared" si="28"/>
        <v>Normal Transaction</v>
      </c>
    </row>
    <row r="927" spans="1:13" x14ac:dyDescent="0.35">
      <c r="A927" s="27">
        <v>926</v>
      </c>
      <c r="B927" s="2" t="s">
        <v>31</v>
      </c>
      <c r="C927" s="2" t="s">
        <v>1</v>
      </c>
      <c r="D927" s="2" t="s">
        <v>8</v>
      </c>
      <c r="E927" s="2" t="s">
        <v>3</v>
      </c>
      <c r="F927" s="9" t="s">
        <v>17</v>
      </c>
      <c r="G927" s="9" t="str">
        <f t="shared" si="29"/>
        <v>Beverages</v>
      </c>
      <c r="H927" s="25">
        <v>17.690000000000001</v>
      </c>
      <c r="I927" s="6">
        <v>19</v>
      </c>
      <c r="J927" s="25">
        <v>23.53</v>
      </c>
      <c r="K927" s="25">
        <v>359.64</v>
      </c>
      <c r="L927" s="9">
        <v>0</v>
      </c>
      <c r="M927" s="39" t="str">
        <f t="shared" si="28"/>
        <v>Normal Transaction</v>
      </c>
    </row>
    <row r="928" spans="1:13" x14ac:dyDescent="0.35">
      <c r="A928" s="27">
        <v>927</v>
      </c>
      <c r="B928" s="2" t="s">
        <v>0</v>
      </c>
      <c r="C928" s="2" t="s">
        <v>14</v>
      </c>
      <c r="D928" s="2" t="s">
        <v>2</v>
      </c>
      <c r="E928" s="2" t="s">
        <v>3</v>
      </c>
      <c r="F928" s="9" t="s">
        <v>4</v>
      </c>
      <c r="G928" s="9" t="str">
        <f t="shared" si="29"/>
        <v>Personal Care</v>
      </c>
      <c r="H928" s="25">
        <v>8.3800000000000008</v>
      </c>
      <c r="I928" s="6">
        <v>17</v>
      </c>
      <c r="J928" s="25">
        <v>9.9700000000000006</v>
      </c>
      <c r="K928" s="25">
        <v>152.43</v>
      </c>
      <c r="L928" s="9">
        <v>15</v>
      </c>
      <c r="M928" s="39" t="str">
        <f t="shared" si="28"/>
        <v>Normal Transaction</v>
      </c>
    </row>
    <row r="929" spans="1:13" x14ac:dyDescent="0.35">
      <c r="A929" s="27">
        <v>928</v>
      </c>
      <c r="B929" s="2" t="s">
        <v>31</v>
      </c>
      <c r="C929" s="2" t="s">
        <v>1</v>
      </c>
      <c r="D929" s="2" t="s">
        <v>2</v>
      </c>
      <c r="E929" s="2" t="s">
        <v>9</v>
      </c>
      <c r="F929" s="9" t="s">
        <v>15</v>
      </c>
      <c r="G929" s="9" t="str">
        <f t="shared" si="29"/>
        <v>Household</v>
      </c>
      <c r="H929" s="25">
        <v>9.4</v>
      </c>
      <c r="I929" s="6">
        <v>3</v>
      </c>
      <c r="J929" s="25">
        <v>1.97</v>
      </c>
      <c r="K929" s="25">
        <v>30.17</v>
      </c>
      <c r="L929" s="9">
        <v>3</v>
      </c>
      <c r="M929" s="39" t="str">
        <f t="shared" si="28"/>
        <v>Normal Transaction</v>
      </c>
    </row>
    <row r="930" spans="1:13" x14ac:dyDescent="0.35">
      <c r="A930" s="27">
        <v>929</v>
      </c>
      <c r="B930" s="2" t="s">
        <v>6</v>
      </c>
      <c r="C930" s="2" t="s">
        <v>7</v>
      </c>
      <c r="D930" s="2" t="s">
        <v>8</v>
      </c>
      <c r="E930" s="2" t="s">
        <v>3</v>
      </c>
      <c r="F930" s="9" t="s">
        <v>4</v>
      </c>
      <c r="G930" s="9" t="str">
        <f t="shared" si="29"/>
        <v>Personal Care</v>
      </c>
      <c r="H930" s="25">
        <v>4.6900000000000004</v>
      </c>
      <c r="I930" s="6">
        <v>9</v>
      </c>
      <c r="J930" s="25">
        <v>2.95</v>
      </c>
      <c r="K930" s="25">
        <v>45.16</v>
      </c>
      <c r="L930" s="9">
        <v>0</v>
      </c>
      <c r="M930" s="39" t="str">
        <f t="shared" si="28"/>
        <v>Normal Transaction</v>
      </c>
    </row>
    <row r="931" spans="1:13" x14ac:dyDescent="0.35">
      <c r="A931" s="27">
        <v>930</v>
      </c>
      <c r="B931" s="2" t="s">
        <v>6</v>
      </c>
      <c r="C931" s="2" t="s">
        <v>7</v>
      </c>
      <c r="D931" s="2" t="s">
        <v>2</v>
      </c>
      <c r="E931" s="2" t="s">
        <v>3</v>
      </c>
      <c r="F931" s="9" t="s">
        <v>15</v>
      </c>
      <c r="G931" s="9" t="str">
        <f t="shared" si="29"/>
        <v>Household</v>
      </c>
      <c r="H931" s="25">
        <v>4.71</v>
      </c>
      <c r="I931" s="6">
        <v>18</v>
      </c>
      <c r="J931" s="25">
        <v>5.93</v>
      </c>
      <c r="K931" s="25">
        <v>90.71</v>
      </c>
      <c r="L931" s="9">
        <v>9</v>
      </c>
      <c r="M931" s="39" t="str">
        <f t="shared" si="28"/>
        <v>Normal Transaction</v>
      </c>
    </row>
    <row r="932" spans="1:13" x14ac:dyDescent="0.35">
      <c r="A932" s="27">
        <v>931</v>
      </c>
      <c r="B932" s="2" t="s">
        <v>31</v>
      </c>
      <c r="C932" s="2" t="s">
        <v>1</v>
      </c>
      <c r="D932" s="2" t="s">
        <v>2</v>
      </c>
      <c r="E932" s="2" t="s">
        <v>3</v>
      </c>
      <c r="F932" s="9" t="s">
        <v>15</v>
      </c>
      <c r="G932" s="9" t="str">
        <f t="shared" si="29"/>
        <v>Household</v>
      </c>
      <c r="H932" s="25">
        <v>15.74</v>
      </c>
      <c r="I932" s="6">
        <v>19</v>
      </c>
      <c r="J932" s="25">
        <v>20.93</v>
      </c>
      <c r="K932" s="25">
        <v>319.99</v>
      </c>
      <c r="L932" s="9">
        <v>31</v>
      </c>
      <c r="M932" s="39" t="str">
        <f t="shared" si="28"/>
        <v>Normal Transaction</v>
      </c>
    </row>
    <row r="933" spans="1:13" x14ac:dyDescent="0.35">
      <c r="A933" s="27">
        <v>932</v>
      </c>
      <c r="B933" s="2" t="s">
        <v>6</v>
      </c>
      <c r="C933" s="2" t="s">
        <v>7</v>
      </c>
      <c r="D933" s="2" t="s">
        <v>8</v>
      </c>
      <c r="E933" s="2" t="s">
        <v>3</v>
      </c>
      <c r="F933" s="9" t="s">
        <v>4</v>
      </c>
      <c r="G933" s="9" t="str">
        <f t="shared" si="29"/>
        <v>Personal Care</v>
      </c>
      <c r="H933" s="25">
        <v>15.45</v>
      </c>
      <c r="I933" s="6">
        <v>11</v>
      </c>
      <c r="J933" s="25">
        <v>11.9</v>
      </c>
      <c r="K933" s="25">
        <v>181.85</v>
      </c>
      <c r="L933" s="9">
        <v>0</v>
      </c>
      <c r="M933" s="39" t="str">
        <f t="shared" si="28"/>
        <v>Normal Transaction</v>
      </c>
    </row>
    <row r="934" spans="1:13" x14ac:dyDescent="0.35">
      <c r="A934" s="27">
        <v>933</v>
      </c>
      <c r="B934" s="2" t="s">
        <v>31</v>
      </c>
      <c r="C934" s="2" t="s">
        <v>1</v>
      </c>
      <c r="D934" s="2" t="s">
        <v>2</v>
      </c>
      <c r="E934" s="2" t="s">
        <v>9</v>
      </c>
      <c r="F934" s="9" t="s">
        <v>17</v>
      </c>
      <c r="G934" s="9" t="str">
        <f t="shared" si="29"/>
        <v>Beverages</v>
      </c>
      <c r="H934" s="25">
        <v>18.54</v>
      </c>
      <c r="I934" s="6">
        <v>11</v>
      </c>
      <c r="J934" s="25">
        <v>14.28</v>
      </c>
      <c r="K934" s="25">
        <v>218.22</v>
      </c>
      <c r="L934" s="9">
        <v>21</v>
      </c>
      <c r="M934" s="39" t="str">
        <f t="shared" si="28"/>
        <v>Normal Transaction</v>
      </c>
    </row>
    <row r="935" spans="1:13" x14ac:dyDescent="0.35">
      <c r="A935" s="27">
        <v>934</v>
      </c>
      <c r="B935" s="2" t="s">
        <v>31</v>
      </c>
      <c r="C935" s="2" t="s">
        <v>1</v>
      </c>
      <c r="D935" s="2" t="s">
        <v>2</v>
      </c>
      <c r="E935" s="2" t="s">
        <v>9</v>
      </c>
      <c r="F935" s="9" t="s">
        <v>17</v>
      </c>
      <c r="G935" s="9" t="str">
        <f t="shared" si="29"/>
        <v>Beverages</v>
      </c>
      <c r="H935" s="25">
        <v>3.24</v>
      </c>
      <c r="I935" s="6">
        <v>3</v>
      </c>
      <c r="J935" s="25">
        <v>0.68</v>
      </c>
      <c r="K935" s="25">
        <v>10.4</v>
      </c>
      <c r="L935" s="9">
        <v>1</v>
      </c>
      <c r="M935" s="39" t="str">
        <f t="shared" si="28"/>
        <v>Normal Transaction</v>
      </c>
    </row>
    <row r="936" spans="1:13" x14ac:dyDescent="0.35">
      <c r="A936" s="27">
        <v>935</v>
      </c>
      <c r="B936" s="2" t="s">
        <v>0</v>
      </c>
      <c r="C936" s="2" t="s">
        <v>14</v>
      </c>
      <c r="D936" s="2" t="s">
        <v>8</v>
      </c>
      <c r="E936" s="2" t="s">
        <v>9</v>
      </c>
      <c r="F936" s="9" t="s">
        <v>4</v>
      </c>
      <c r="G936" s="9" t="str">
        <f t="shared" si="29"/>
        <v>Personal Care</v>
      </c>
      <c r="H936" s="25">
        <v>7.94</v>
      </c>
      <c r="I936" s="6">
        <v>18</v>
      </c>
      <c r="J936" s="25">
        <v>10</v>
      </c>
      <c r="K936" s="25">
        <v>152.91999999999999</v>
      </c>
      <c r="L936" s="9">
        <v>0</v>
      </c>
      <c r="M936" s="39" t="str">
        <f t="shared" si="28"/>
        <v>Normal Transaction</v>
      </c>
    </row>
    <row r="937" spans="1:13" x14ac:dyDescent="0.35">
      <c r="A937" s="27">
        <v>936</v>
      </c>
      <c r="B937" s="2" t="s">
        <v>6</v>
      </c>
      <c r="C937" s="2" t="s">
        <v>7</v>
      </c>
      <c r="D937" s="2" t="s">
        <v>2</v>
      </c>
      <c r="E937" s="2" t="s">
        <v>3</v>
      </c>
      <c r="F937" s="9" t="s">
        <v>12</v>
      </c>
      <c r="G937" s="9" t="str">
        <f t="shared" si="29"/>
        <v>Fruits</v>
      </c>
      <c r="H937" s="25">
        <v>5.92</v>
      </c>
      <c r="I937" s="6">
        <v>7</v>
      </c>
      <c r="J937" s="25">
        <v>2.9</v>
      </c>
      <c r="K937" s="25">
        <v>44.34</v>
      </c>
      <c r="L937" s="9">
        <v>4</v>
      </c>
      <c r="M937" s="39" t="str">
        <f t="shared" si="28"/>
        <v>Normal Transaction</v>
      </c>
    </row>
    <row r="938" spans="1:13" x14ac:dyDescent="0.35">
      <c r="A938" s="27">
        <v>937</v>
      </c>
      <c r="B938" s="2" t="s">
        <v>0</v>
      </c>
      <c r="C938" s="2" t="s">
        <v>14</v>
      </c>
      <c r="D938" s="2" t="s">
        <v>2</v>
      </c>
      <c r="E938" s="2" t="s">
        <v>9</v>
      </c>
      <c r="F938" s="9" t="s">
        <v>4</v>
      </c>
      <c r="G938" s="9" t="str">
        <f t="shared" si="29"/>
        <v>Personal Care</v>
      </c>
      <c r="H938" s="25">
        <v>5.8</v>
      </c>
      <c r="I938" s="6">
        <v>18</v>
      </c>
      <c r="J938" s="25">
        <v>7.31</v>
      </c>
      <c r="K938" s="25">
        <v>111.71</v>
      </c>
      <c r="L938" s="9">
        <v>11</v>
      </c>
      <c r="M938" s="39" t="str">
        <f t="shared" si="28"/>
        <v>Normal Transaction</v>
      </c>
    </row>
    <row r="939" spans="1:13" x14ac:dyDescent="0.35">
      <c r="A939" s="27">
        <v>938</v>
      </c>
      <c r="B939" s="2" t="s">
        <v>31</v>
      </c>
      <c r="C939" s="2" t="s">
        <v>1</v>
      </c>
      <c r="D939" s="2" t="s">
        <v>2</v>
      </c>
      <c r="E939" s="2" t="s">
        <v>9</v>
      </c>
      <c r="F939" s="9" t="s">
        <v>4</v>
      </c>
      <c r="G939" s="9" t="str">
        <f t="shared" si="29"/>
        <v>Personal Care</v>
      </c>
      <c r="H939" s="25">
        <v>12.98</v>
      </c>
      <c r="I939" s="6">
        <v>12</v>
      </c>
      <c r="J939" s="25">
        <v>10.9</v>
      </c>
      <c r="K939" s="25">
        <v>166.66</v>
      </c>
      <c r="L939" s="9">
        <v>16</v>
      </c>
      <c r="M939" s="39" t="str">
        <f t="shared" si="28"/>
        <v>Normal Transaction</v>
      </c>
    </row>
    <row r="940" spans="1:13" x14ac:dyDescent="0.35">
      <c r="A940" s="27">
        <v>939</v>
      </c>
      <c r="B940" s="2" t="s">
        <v>31</v>
      </c>
      <c r="C940" s="2" t="s">
        <v>1</v>
      </c>
      <c r="D940" s="2" t="s">
        <v>8</v>
      </c>
      <c r="E940" s="2" t="s">
        <v>3</v>
      </c>
      <c r="F940" s="9" t="s">
        <v>12</v>
      </c>
      <c r="G940" s="9" t="str">
        <f t="shared" si="29"/>
        <v>Fruits</v>
      </c>
      <c r="H940" s="25">
        <v>5.0999999999999996</v>
      </c>
      <c r="I940" s="6">
        <v>2</v>
      </c>
      <c r="J940" s="25">
        <v>0.71</v>
      </c>
      <c r="K940" s="25">
        <v>10.91</v>
      </c>
      <c r="L940" s="9">
        <v>0</v>
      </c>
      <c r="M940" s="39" t="str">
        <f t="shared" si="28"/>
        <v>Normal Transaction</v>
      </c>
    </row>
    <row r="941" spans="1:13" x14ac:dyDescent="0.35">
      <c r="A941" s="27">
        <v>940</v>
      </c>
      <c r="B941" s="2" t="s">
        <v>31</v>
      </c>
      <c r="C941" s="2" t="s">
        <v>1</v>
      </c>
      <c r="D941" s="2" t="s">
        <v>2</v>
      </c>
      <c r="E941" s="2" t="s">
        <v>9</v>
      </c>
      <c r="F941" s="9" t="s">
        <v>10</v>
      </c>
      <c r="G941" s="9" t="str">
        <f t="shared" si="29"/>
        <v>Stationery</v>
      </c>
      <c r="H941" s="25">
        <v>19.02</v>
      </c>
      <c r="I941" s="6">
        <v>6</v>
      </c>
      <c r="J941" s="25">
        <v>7.99</v>
      </c>
      <c r="K941" s="25">
        <v>122.11</v>
      </c>
      <c r="L941" s="9">
        <v>12</v>
      </c>
      <c r="M941" s="39" t="str">
        <f t="shared" si="28"/>
        <v>Normal Transaction</v>
      </c>
    </row>
    <row r="942" spans="1:13" x14ac:dyDescent="0.35">
      <c r="A942" s="27">
        <v>941</v>
      </c>
      <c r="B942" s="2" t="s">
        <v>0</v>
      </c>
      <c r="C942" s="2" t="s">
        <v>14</v>
      </c>
      <c r="D942" s="2" t="s">
        <v>2</v>
      </c>
      <c r="E942" s="2" t="s">
        <v>9</v>
      </c>
      <c r="F942" s="9" t="s">
        <v>17</v>
      </c>
      <c r="G942" s="9" t="str">
        <f t="shared" si="29"/>
        <v>Beverages</v>
      </c>
      <c r="H942" s="25">
        <v>8.9499999999999993</v>
      </c>
      <c r="I942" s="6">
        <v>7</v>
      </c>
      <c r="J942" s="25">
        <v>4.3899999999999997</v>
      </c>
      <c r="K942" s="25">
        <v>67.040000000000006</v>
      </c>
      <c r="L942" s="9">
        <v>6</v>
      </c>
      <c r="M942" s="39" t="str">
        <f t="shared" si="28"/>
        <v>Normal Transaction</v>
      </c>
    </row>
    <row r="943" spans="1:13" x14ac:dyDescent="0.35">
      <c r="A943" s="27">
        <v>942</v>
      </c>
      <c r="B943" s="2" t="s">
        <v>31</v>
      </c>
      <c r="C943" s="2" t="s">
        <v>1</v>
      </c>
      <c r="D943" s="2" t="s">
        <v>8</v>
      </c>
      <c r="E943" s="2" t="s">
        <v>9</v>
      </c>
      <c r="F943" s="9" t="s">
        <v>4</v>
      </c>
      <c r="G943" s="9" t="str">
        <f t="shared" si="29"/>
        <v>Personal Care</v>
      </c>
      <c r="H943" s="25">
        <v>10.92</v>
      </c>
      <c r="I943" s="6">
        <v>18</v>
      </c>
      <c r="J943" s="25">
        <v>13.76</v>
      </c>
      <c r="K943" s="25">
        <v>210.32</v>
      </c>
      <c r="L943" s="9">
        <v>0</v>
      </c>
      <c r="M943" s="39" t="str">
        <f t="shared" si="28"/>
        <v>Normal Transaction</v>
      </c>
    </row>
    <row r="944" spans="1:13" x14ac:dyDescent="0.35">
      <c r="A944" s="27">
        <v>943</v>
      </c>
      <c r="B944" s="2" t="s">
        <v>31</v>
      </c>
      <c r="C944" s="2" t="s">
        <v>1</v>
      </c>
      <c r="D944" s="2" t="s">
        <v>2</v>
      </c>
      <c r="E944" s="2" t="s">
        <v>3</v>
      </c>
      <c r="F944" s="9" t="s">
        <v>12</v>
      </c>
      <c r="G944" s="9" t="str">
        <f t="shared" si="29"/>
        <v>Fruits</v>
      </c>
      <c r="H944" s="25">
        <v>10.77</v>
      </c>
      <c r="I944" s="6">
        <v>4</v>
      </c>
      <c r="J944" s="25">
        <v>3.02</v>
      </c>
      <c r="K944" s="25">
        <v>46.1</v>
      </c>
      <c r="L944" s="9">
        <v>4</v>
      </c>
      <c r="M944" s="39" t="str">
        <f t="shared" si="28"/>
        <v>Normal Transaction</v>
      </c>
    </row>
    <row r="945" spans="1:13" x14ac:dyDescent="0.35">
      <c r="A945" s="27">
        <v>944</v>
      </c>
      <c r="B945" s="2" t="s">
        <v>6</v>
      </c>
      <c r="C945" s="2" t="s">
        <v>7</v>
      </c>
      <c r="D945" s="2" t="s">
        <v>8</v>
      </c>
      <c r="E945" s="2" t="s">
        <v>9</v>
      </c>
      <c r="F945" s="9" t="s">
        <v>17</v>
      </c>
      <c r="G945" s="9" t="str">
        <f t="shared" si="29"/>
        <v>Beverages</v>
      </c>
      <c r="H945" s="25">
        <v>3.14</v>
      </c>
      <c r="I945" s="6">
        <v>19</v>
      </c>
      <c r="J945" s="25">
        <v>4.18</v>
      </c>
      <c r="K945" s="25">
        <v>63.84</v>
      </c>
      <c r="L945" s="9">
        <v>0</v>
      </c>
      <c r="M945" s="39" t="str">
        <f t="shared" si="28"/>
        <v>Normal Transaction</v>
      </c>
    </row>
    <row r="946" spans="1:13" x14ac:dyDescent="0.35">
      <c r="A946" s="27">
        <v>945</v>
      </c>
      <c r="B946" s="2" t="s">
        <v>6</v>
      </c>
      <c r="C946" s="2" t="s">
        <v>7</v>
      </c>
      <c r="D946" s="2" t="s">
        <v>2</v>
      </c>
      <c r="E946" s="2" t="s">
        <v>9</v>
      </c>
      <c r="F946" s="9" t="s">
        <v>17</v>
      </c>
      <c r="G946" s="9" t="str">
        <f t="shared" si="29"/>
        <v>Beverages</v>
      </c>
      <c r="H946" s="25">
        <v>13.01</v>
      </c>
      <c r="I946" s="6">
        <v>16</v>
      </c>
      <c r="J946" s="25">
        <v>14.57</v>
      </c>
      <c r="K946" s="25">
        <v>222.73</v>
      </c>
      <c r="L946" s="9">
        <v>22</v>
      </c>
      <c r="M946" s="39" t="str">
        <f t="shared" si="28"/>
        <v>Normal Transaction</v>
      </c>
    </row>
    <row r="947" spans="1:13" x14ac:dyDescent="0.35">
      <c r="A947" s="27">
        <v>946</v>
      </c>
      <c r="B947" s="2" t="s">
        <v>0</v>
      </c>
      <c r="C947" s="2" t="s">
        <v>14</v>
      </c>
      <c r="D947" s="2" t="s">
        <v>8</v>
      </c>
      <c r="E947" s="2" t="s">
        <v>3</v>
      </c>
      <c r="F947" s="9" t="s">
        <v>10</v>
      </c>
      <c r="G947" s="9" t="str">
        <f t="shared" si="29"/>
        <v>Stationery</v>
      </c>
      <c r="H947" s="25">
        <v>7.43</v>
      </c>
      <c r="I947" s="6">
        <v>8</v>
      </c>
      <c r="J947" s="25">
        <v>4.16</v>
      </c>
      <c r="K947" s="25">
        <v>63.6</v>
      </c>
      <c r="L947" s="9">
        <v>0</v>
      </c>
      <c r="M947" s="39" t="str">
        <f t="shared" si="28"/>
        <v>Normal Transaction</v>
      </c>
    </row>
    <row r="948" spans="1:13" x14ac:dyDescent="0.35">
      <c r="A948" s="27">
        <v>947</v>
      </c>
      <c r="B948" s="2" t="s">
        <v>0</v>
      </c>
      <c r="C948" s="2" t="s">
        <v>14</v>
      </c>
      <c r="D948" s="2" t="s">
        <v>8</v>
      </c>
      <c r="E948" s="2" t="s">
        <v>3</v>
      </c>
      <c r="F948" s="9" t="s">
        <v>10</v>
      </c>
      <c r="G948" s="9" t="str">
        <f t="shared" si="29"/>
        <v>Stationery</v>
      </c>
      <c r="H948" s="25">
        <v>13.7</v>
      </c>
      <c r="I948" s="6">
        <v>20</v>
      </c>
      <c r="J948" s="25">
        <v>19.18</v>
      </c>
      <c r="K948" s="25">
        <v>293.18</v>
      </c>
      <c r="L948" s="9">
        <v>0</v>
      </c>
      <c r="M948" s="39" t="str">
        <f t="shared" si="28"/>
        <v>Normal Transaction</v>
      </c>
    </row>
    <row r="949" spans="1:13" x14ac:dyDescent="0.35">
      <c r="A949" s="27">
        <v>948</v>
      </c>
      <c r="B949" s="2" t="s">
        <v>31</v>
      </c>
      <c r="C949" s="2" t="s">
        <v>1</v>
      </c>
      <c r="D949" s="2" t="s">
        <v>8</v>
      </c>
      <c r="E949" s="2" t="s">
        <v>3</v>
      </c>
      <c r="F949" s="9" t="s">
        <v>17</v>
      </c>
      <c r="G949" s="9" t="str">
        <f t="shared" si="29"/>
        <v>Beverages</v>
      </c>
      <c r="H949" s="25">
        <v>15.49</v>
      </c>
      <c r="I949" s="6">
        <v>16</v>
      </c>
      <c r="J949" s="25">
        <v>17.350000000000001</v>
      </c>
      <c r="K949" s="25">
        <v>265.19</v>
      </c>
      <c r="L949" s="9">
        <v>0</v>
      </c>
      <c r="M949" s="39" t="str">
        <f t="shared" si="28"/>
        <v>Normal Transaction</v>
      </c>
    </row>
    <row r="950" spans="1:13" x14ac:dyDescent="0.35">
      <c r="A950" s="27">
        <v>949</v>
      </c>
      <c r="B950" s="2" t="s">
        <v>6</v>
      </c>
      <c r="C950" s="2" t="s">
        <v>7</v>
      </c>
      <c r="D950" s="2" t="s">
        <v>2</v>
      </c>
      <c r="E950" s="2" t="s">
        <v>9</v>
      </c>
      <c r="F950" s="9" t="s">
        <v>4</v>
      </c>
      <c r="G950" s="9" t="str">
        <f t="shared" si="29"/>
        <v>Personal Care</v>
      </c>
      <c r="H950" s="25">
        <v>19.420000000000002</v>
      </c>
      <c r="I950" s="6">
        <v>2</v>
      </c>
      <c r="J950" s="25">
        <v>2.72</v>
      </c>
      <c r="K950" s="25">
        <v>41.56</v>
      </c>
      <c r="L950" s="9">
        <v>4</v>
      </c>
      <c r="M950" s="39" t="str">
        <f t="shared" si="28"/>
        <v>Normal Transaction</v>
      </c>
    </row>
    <row r="951" spans="1:13" x14ac:dyDescent="0.35">
      <c r="A951" s="27">
        <v>950</v>
      </c>
      <c r="B951" s="2" t="s">
        <v>0</v>
      </c>
      <c r="C951" s="2" t="s">
        <v>14</v>
      </c>
      <c r="D951" s="2" t="s">
        <v>8</v>
      </c>
      <c r="E951" s="2" t="s">
        <v>3</v>
      </c>
      <c r="F951" s="9" t="s">
        <v>4</v>
      </c>
      <c r="G951" s="9" t="str">
        <f t="shared" si="29"/>
        <v>Personal Care</v>
      </c>
      <c r="H951" s="25">
        <v>10.56</v>
      </c>
      <c r="I951" s="6">
        <v>18</v>
      </c>
      <c r="J951" s="25">
        <v>13.31</v>
      </c>
      <c r="K951" s="25">
        <v>203.39</v>
      </c>
      <c r="L951" s="9">
        <v>0</v>
      </c>
      <c r="M951" s="39" t="str">
        <f t="shared" si="28"/>
        <v>Normal Transaction</v>
      </c>
    </row>
    <row r="952" spans="1:13" x14ac:dyDescent="0.35">
      <c r="A952" s="27">
        <v>951</v>
      </c>
      <c r="B952" s="2" t="s">
        <v>0</v>
      </c>
      <c r="C952" s="2" t="s">
        <v>14</v>
      </c>
      <c r="D952" s="2" t="s">
        <v>2</v>
      </c>
      <c r="E952" s="2" t="s">
        <v>3</v>
      </c>
      <c r="F952" s="9" t="s">
        <v>4</v>
      </c>
      <c r="G952" s="9" t="str">
        <f t="shared" si="29"/>
        <v>Personal Care</v>
      </c>
      <c r="H952" s="25">
        <v>20.11</v>
      </c>
      <c r="I952" s="6">
        <v>14</v>
      </c>
      <c r="J952" s="25">
        <v>19.71</v>
      </c>
      <c r="K952" s="25">
        <v>301.25</v>
      </c>
      <c r="L952" s="9">
        <v>30</v>
      </c>
      <c r="M952" s="39" t="str">
        <f t="shared" si="28"/>
        <v>Normal Transaction</v>
      </c>
    </row>
    <row r="953" spans="1:13" x14ac:dyDescent="0.35">
      <c r="A953" s="27">
        <v>952</v>
      </c>
      <c r="B953" s="2" t="s">
        <v>0</v>
      </c>
      <c r="C953" s="2" t="s">
        <v>14</v>
      </c>
      <c r="D953" s="2" t="s">
        <v>8</v>
      </c>
      <c r="E953" s="2" t="s">
        <v>3</v>
      </c>
      <c r="F953" s="9" t="s">
        <v>17</v>
      </c>
      <c r="G953" s="9" t="str">
        <f t="shared" si="29"/>
        <v>Beverages</v>
      </c>
      <c r="H953" s="25">
        <v>19.88</v>
      </c>
      <c r="I953" s="6">
        <v>1</v>
      </c>
      <c r="J953" s="25">
        <v>1.39</v>
      </c>
      <c r="K953" s="25">
        <v>21.27</v>
      </c>
      <c r="L953" s="9">
        <v>0</v>
      </c>
      <c r="M953" s="39" t="str">
        <f t="shared" si="28"/>
        <v>Normal Transaction</v>
      </c>
    </row>
    <row r="954" spans="1:13" x14ac:dyDescent="0.35">
      <c r="A954" s="27">
        <v>953</v>
      </c>
      <c r="B954" s="2" t="s">
        <v>0</v>
      </c>
      <c r="C954" s="2" t="s">
        <v>14</v>
      </c>
      <c r="D954" s="2" t="s">
        <v>8</v>
      </c>
      <c r="E954" s="2" t="s">
        <v>3</v>
      </c>
      <c r="F954" s="9" t="s">
        <v>10</v>
      </c>
      <c r="G954" s="9" t="str">
        <f t="shared" si="29"/>
        <v>Stationery</v>
      </c>
      <c r="H954" s="25">
        <v>4.72</v>
      </c>
      <c r="I954" s="6">
        <v>20</v>
      </c>
      <c r="J954" s="25">
        <v>6.61</v>
      </c>
      <c r="K954" s="25">
        <v>101.01</v>
      </c>
      <c r="L954" s="9">
        <v>0</v>
      </c>
      <c r="M954" s="39" t="str">
        <f t="shared" si="28"/>
        <v>Normal Transaction</v>
      </c>
    </row>
    <row r="955" spans="1:13" x14ac:dyDescent="0.35">
      <c r="A955" s="27">
        <v>954</v>
      </c>
      <c r="B955" s="2" t="s">
        <v>0</v>
      </c>
      <c r="C955" s="2" t="s">
        <v>14</v>
      </c>
      <c r="D955" s="2" t="s">
        <v>2</v>
      </c>
      <c r="E955" s="2" t="s">
        <v>3</v>
      </c>
      <c r="F955" s="9" t="s">
        <v>12</v>
      </c>
      <c r="G955" s="9" t="str">
        <f t="shared" si="29"/>
        <v>Fruits</v>
      </c>
      <c r="H955" s="25">
        <v>13.18</v>
      </c>
      <c r="I955" s="6">
        <v>13</v>
      </c>
      <c r="J955" s="25">
        <v>11.99</v>
      </c>
      <c r="K955" s="25">
        <v>183.33</v>
      </c>
      <c r="L955" s="9">
        <v>18</v>
      </c>
      <c r="M955" s="39" t="str">
        <f t="shared" si="28"/>
        <v>Normal Transaction</v>
      </c>
    </row>
    <row r="956" spans="1:13" x14ac:dyDescent="0.35">
      <c r="A956" s="27">
        <v>955</v>
      </c>
      <c r="B956" s="2" t="s">
        <v>0</v>
      </c>
      <c r="C956" s="2" t="s">
        <v>14</v>
      </c>
      <c r="D956" s="2" t="s">
        <v>2</v>
      </c>
      <c r="E956" s="2" t="s">
        <v>3</v>
      </c>
      <c r="F956" s="9" t="s">
        <v>17</v>
      </c>
      <c r="G956" s="9" t="str">
        <f t="shared" si="29"/>
        <v>Beverages</v>
      </c>
      <c r="H956" s="25">
        <v>20.81</v>
      </c>
      <c r="I956" s="6">
        <v>17</v>
      </c>
      <c r="J956" s="25">
        <v>24.76</v>
      </c>
      <c r="K956" s="25">
        <v>378.53</v>
      </c>
      <c r="L956" s="9">
        <v>37</v>
      </c>
      <c r="M956" s="39" t="str">
        <f t="shared" si="28"/>
        <v>Normal Transaction</v>
      </c>
    </row>
    <row r="957" spans="1:13" x14ac:dyDescent="0.35">
      <c r="A957" s="27">
        <v>956</v>
      </c>
      <c r="B957" s="2" t="s">
        <v>0</v>
      </c>
      <c r="C957" s="2" t="s">
        <v>14</v>
      </c>
      <c r="D957" s="2" t="s">
        <v>2</v>
      </c>
      <c r="E957" s="2" t="s">
        <v>9</v>
      </c>
      <c r="F957" s="9" t="s">
        <v>17</v>
      </c>
      <c r="G957" s="9" t="str">
        <f t="shared" si="29"/>
        <v>Beverages</v>
      </c>
      <c r="H957" s="25">
        <v>17.18</v>
      </c>
      <c r="I957" s="6">
        <v>19</v>
      </c>
      <c r="J957" s="25">
        <v>22.85</v>
      </c>
      <c r="K957" s="25">
        <v>349.27</v>
      </c>
      <c r="L957" s="9">
        <v>34</v>
      </c>
      <c r="M957" s="39" t="str">
        <f t="shared" si="28"/>
        <v>Normal Transaction</v>
      </c>
    </row>
    <row r="958" spans="1:13" x14ac:dyDescent="0.35">
      <c r="A958" s="27">
        <v>957</v>
      </c>
      <c r="B958" s="2" t="s">
        <v>0</v>
      </c>
      <c r="C958" s="2" t="s">
        <v>14</v>
      </c>
      <c r="D958" s="2" t="s">
        <v>2</v>
      </c>
      <c r="E958" s="2" t="s">
        <v>3</v>
      </c>
      <c r="F958" s="9" t="s">
        <v>4</v>
      </c>
      <c r="G958" s="9" t="str">
        <f t="shared" si="29"/>
        <v>Personal Care</v>
      </c>
      <c r="H958" s="25">
        <v>20.12</v>
      </c>
      <c r="I958" s="6">
        <v>14</v>
      </c>
      <c r="J958" s="25">
        <v>19.72</v>
      </c>
      <c r="K958" s="25">
        <v>301.39999999999998</v>
      </c>
      <c r="L958" s="9">
        <v>30</v>
      </c>
      <c r="M958" s="39" t="str">
        <f t="shared" si="28"/>
        <v>Normal Transaction</v>
      </c>
    </row>
    <row r="959" spans="1:13" x14ac:dyDescent="0.35">
      <c r="A959" s="27">
        <v>958</v>
      </c>
      <c r="B959" s="2" t="s">
        <v>31</v>
      </c>
      <c r="C959" s="2" t="s">
        <v>1</v>
      </c>
      <c r="D959" s="2" t="s">
        <v>2</v>
      </c>
      <c r="E959" s="2" t="s">
        <v>9</v>
      </c>
      <c r="F959" s="9" t="s">
        <v>10</v>
      </c>
      <c r="G959" s="9" t="str">
        <f t="shared" si="29"/>
        <v>Stationery</v>
      </c>
      <c r="H959" s="25">
        <v>20.28</v>
      </c>
      <c r="I959" s="6">
        <v>20</v>
      </c>
      <c r="J959" s="25">
        <v>28.39</v>
      </c>
      <c r="K959" s="25">
        <v>433.99</v>
      </c>
      <c r="L959" s="9">
        <v>43</v>
      </c>
      <c r="M959" s="39" t="str">
        <f t="shared" si="28"/>
        <v>Outlier (Extreme Spend)</v>
      </c>
    </row>
    <row r="960" spans="1:13" x14ac:dyDescent="0.35">
      <c r="A960" s="27">
        <v>959</v>
      </c>
      <c r="B960" s="2" t="s">
        <v>0</v>
      </c>
      <c r="C960" s="2" t="s">
        <v>14</v>
      </c>
      <c r="D960" s="2" t="s">
        <v>8</v>
      </c>
      <c r="E960" s="2" t="s">
        <v>3</v>
      </c>
      <c r="F960" s="9" t="s">
        <v>15</v>
      </c>
      <c r="G960" s="9" t="str">
        <f t="shared" si="29"/>
        <v>Household</v>
      </c>
      <c r="H960" s="25">
        <v>1.91</v>
      </c>
      <c r="I960" s="6">
        <v>5</v>
      </c>
      <c r="J960" s="25">
        <v>0.67</v>
      </c>
      <c r="K960" s="25">
        <v>10.220000000000001</v>
      </c>
      <c r="L960" s="9">
        <v>0</v>
      </c>
      <c r="M960" s="39" t="str">
        <f t="shared" si="28"/>
        <v>Normal Transaction</v>
      </c>
    </row>
    <row r="961" spans="1:13" x14ac:dyDescent="0.35">
      <c r="A961" s="27">
        <v>960</v>
      </c>
      <c r="B961" s="2" t="s">
        <v>0</v>
      </c>
      <c r="C961" s="2" t="s">
        <v>14</v>
      </c>
      <c r="D961" s="2" t="s">
        <v>2</v>
      </c>
      <c r="E961" s="2" t="s">
        <v>9</v>
      </c>
      <c r="F961" s="9" t="s">
        <v>12</v>
      </c>
      <c r="G961" s="9" t="str">
        <f t="shared" si="29"/>
        <v>Fruits</v>
      </c>
      <c r="H961" s="25">
        <v>8.7799999999999994</v>
      </c>
      <c r="I961" s="6">
        <v>8</v>
      </c>
      <c r="J961" s="25">
        <v>4.92</v>
      </c>
      <c r="K961" s="25">
        <v>75.16</v>
      </c>
      <c r="L961" s="9">
        <v>7</v>
      </c>
      <c r="M961" s="39" t="str">
        <f t="shared" si="28"/>
        <v>Normal Transaction</v>
      </c>
    </row>
    <row r="962" spans="1:13" x14ac:dyDescent="0.35">
      <c r="A962" s="27">
        <v>961</v>
      </c>
      <c r="B962" s="2" t="s">
        <v>0</v>
      </c>
      <c r="C962" s="2" t="s">
        <v>14</v>
      </c>
      <c r="D962" s="2" t="s">
        <v>2</v>
      </c>
      <c r="E962" s="2" t="s">
        <v>3</v>
      </c>
      <c r="F962" s="9" t="s">
        <v>10</v>
      </c>
      <c r="G962" s="9" t="str">
        <f t="shared" si="29"/>
        <v>Stationery</v>
      </c>
      <c r="H962" s="25">
        <v>10.37</v>
      </c>
      <c r="I962" s="6">
        <v>9</v>
      </c>
      <c r="J962" s="25">
        <v>6.53</v>
      </c>
      <c r="K962" s="25">
        <v>99.86</v>
      </c>
      <c r="L962" s="9">
        <v>9</v>
      </c>
      <c r="M962" s="39" t="str">
        <f t="shared" ref="M962:M1001" si="30">IF(K962 &gt; 382.93, "Outlier (Extreme Spend)", "Normal Transaction")</f>
        <v>Normal Transaction</v>
      </c>
    </row>
    <row r="963" spans="1:13" x14ac:dyDescent="0.35">
      <c r="A963" s="27">
        <v>962</v>
      </c>
      <c r="B963" s="2" t="s">
        <v>0</v>
      </c>
      <c r="C963" s="2" t="s">
        <v>14</v>
      </c>
      <c r="D963" s="2" t="s">
        <v>8</v>
      </c>
      <c r="E963" s="2" t="s">
        <v>3</v>
      </c>
      <c r="F963" s="9" t="s">
        <v>12</v>
      </c>
      <c r="G963" s="9" t="str">
        <f t="shared" ref="G963:G1001" si="31">_xlfn.XLOOKUP(F963,$Q$2:$Q$6,$R$2:$R$6,"Unknown")</f>
        <v>Fruits</v>
      </c>
      <c r="H963" s="25">
        <v>12.94</v>
      </c>
      <c r="I963" s="6">
        <v>3</v>
      </c>
      <c r="J963" s="25">
        <v>2.72</v>
      </c>
      <c r="K963" s="25">
        <v>41.54</v>
      </c>
      <c r="L963" s="9">
        <v>0</v>
      </c>
      <c r="M963" s="39" t="str">
        <f t="shared" si="30"/>
        <v>Normal Transaction</v>
      </c>
    </row>
    <row r="964" spans="1:13" x14ac:dyDescent="0.35">
      <c r="A964" s="27">
        <v>963</v>
      </c>
      <c r="B964" s="2" t="s">
        <v>6</v>
      </c>
      <c r="C964" s="2" t="s">
        <v>7</v>
      </c>
      <c r="D964" s="2" t="s">
        <v>8</v>
      </c>
      <c r="E964" s="2" t="s">
        <v>3</v>
      </c>
      <c r="F964" s="9" t="s">
        <v>12</v>
      </c>
      <c r="G964" s="9" t="str">
        <f t="shared" si="31"/>
        <v>Fruits</v>
      </c>
      <c r="H964" s="25">
        <v>17.010000000000002</v>
      </c>
      <c r="I964" s="6">
        <v>15</v>
      </c>
      <c r="J964" s="25">
        <v>17.86</v>
      </c>
      <c r="K964" s="25">
        <v>273.01</v>
      </c>
      <c r="L964" s="9">
        <v>0</v>
      </c>
      <c r="M964" s="39" t="str">
        <f t="shared" si="30"/>
        <v>Normal Transaction</v>
      </c>
    </row>
    <row r="965" spans="1:13" x14ac:dyDescent="0.35">
      <c r="A965" s="27">
        <v>964</v>
      </c>
      <c r="B965" s="2" t="s">
        <v>31</v>
      </c>
      <c r="C965" s="2" t="s">
        <v>1</v>
      </c>
      <c r="D965" s="2" t="s">
        <v>8</v>
      </c>
      <c r="E965" s="2" t="s">
        <v>9</v>
      </c>
      <c r="F965" s="9" t="s">
        <v>15</v>
      </c>
      <c r="G965" s="9" t="str">
        <f t="shared" si="31"/>
        <v>Household</v>
      </c>
      <c r="H965" s="25">
        <v>16.149999999999999</v>
      </c>
      <c r="I965" s="6">
        <v>7</v>
      </c>
      <c r="J965" s="25">
        <v>7.91</v>
      </c>
      <c r="K965" s="25">
        <v>120.96</v>
      </c>
      <c r="L965" s="9">
        <v>0</v>
      </c>
      <c r="M965" s="39" t="str">
        <f t="shared" si="30"/>
        <v>Normal Transaction</v>
      </c>
    </row>
    <row r="966" spans="1:13" x14ac:dyDescent="0.35">
      <c r="A966" s="27">
        <v>965</v>
      </c>
      <c r="B966" s="2" t="s">
        <v>6</v>
      </c>
      <c r="C966" s="2" t="s">
        <v>7</v>
      </c>
      <c r="D966" s="2" t="s">
        <v>8</v>
      </c>
      <c r="E966" s="2" t="s">
        <v>9</v>
      </c>
      <c r="F966" s="9" t="s">
        <v>15</v>
      </c>
      <c r="G966" s="9" t="str">
        <f t="shared" si="31"/>
        <v>Household</v>
      </c>
      <c r="H966" s="25">
        <v>9.14</v>
      </c>
      <c r="I966" s="6">
        <v>12</v>
      </c>
      <c r="J966" s="25">
        <v>7.68</v>
      </c>
      <c r="K966" s="25">
        <v>117.36</v>
      </c>
      <c r="L966" s="9">
        <v>0</v>
      </c>
      <c r="M966" s="39" t="str">
        <f t="shared" si="30"/>
        <v>Normal Transaction</v>
      </c>
    </row>
    <row r="967" spans="1:13" x14ac:dyDescent="0.35">
      <c r="A967" s="27">
        <v>966</v>
      </c>
      <c r="B967" s="2" t="s">
        <v>0</v>
      </c>
      <c r="C967" s="2" t="s">
        <v>14</v>
      </c>
      <c r="D967" s="2" t="s">
        <v>2</v>
      </c>
      <c r="E967" s="2" t="s">
        <v>9</v>
      </c>
      <c r="F967" s="9" t="s">
        <v>10</v>
      </c>
      <c r="G967" s="9" t="str">
        <f t="shared" si="31"/>
        <v>Stationery</v>
      </c>
      <c r="H967" s="25">
        <v>5.99</v>
      </c>
      <c r="I967" s="6">
        <v>20</v>
      </c>
      <c r="J967" s="25">
        <v>8.39</v>
      </c>
      <c r="K967" s="25">
        <v>128.19</v>
      </c>
      <c r="L967" s="9">
        <v>12</v>
      </c>
      <c r="M967" s="39" t="str">
        <f t="shared" si="30"/>
        <v>Normal Transaction</v>
      </c>
    </row>
    <row r="968" spans="1:13" x14ac:dyDescent="0.35">
      <c r="A968" s="27">
        <v>967</v>
      </c>
      <c r="B968" s="2" t="s">
        <v>6</v>
      </c>
      <c r="C968" s="2" t="s">
        <v>7</v>
      </c>
      <c r="D968" s="2" t="s">
        <v>2</v>
      </c>
      <c r="E968" s="2" t="s">
        <v>3</v>
      </c>
      <c r="F968" s="9" t="s">
        <v>10</v>
      </c>
      <c r="G968" s="9" t="str">
        <f t="shared" si="31"/>
        <v>Stationery</v>
      </c>
      <c r="H968" s="25">
        <v>3.31</v>
      </c>
      <c r="I968" s="6">
        <v>20</v>
      </c>
      <c r="J968" s="25">
        <v>4.63</v>
      </c>
      <c r="K968" s="25">
        <v>70.83</v>
      </c>
      <c r="L968" s="9">
        <v>7</v>
      </c>
      <c r="M968" s="39" t="str">
        <f t="shared" si="30"/>
        <v>Normal Transaction</v>
      </c>
    </row>
    <row r="969" spans="1:13" x14ac:dyDescent="0.35">
      <c r="A969" s="27">
        <v>968</v>
      </c>
      <c r="B969" s="2" t="s">
        <v>31</v>
      </c>
      <c r="C969" s="2" t="s">
        <v>1</v>
      </c>
      <c r="D969" s="2" t="s">
        <v>8</v>
      </c>
      <c r="E969" s="2" t="s">
        <v>3</v>
      </c>
      <c r="F969" s="9" t="s">
        <v>15</v>
      </c>
      <c r="G969" s="9" t="str">
        <f t="shared" si="31"/>
        <v>Household</v>
      </c>
      <c r="H969" s="25">
        <v>14.02</v>
      </c>
      <c r="I969" s="6">
        <v>2</v>
      </c>
      <c r="J969" s="25">
        <v>1.96</v>
      </c>
      <c r="K969" s="25">
        <v>30</v>
      </c>
      <c r="L969" s="9">
        <v>0</v>
      </c>
      <c r="M969" s="39" t="str">
        <f t="shared" si="30"/>
        <v>Normal Transaction</v>
      </c>
    </row>
    <row r="970" spans="1:13" x14ac:dyDescent="0.35">
      <c r="A970" s="27">
        <v>969</v>
      </c>
      <c r="B970" s="2" t="s">
        <v>31</v>
      </c>
      <c r="C970" s="2" t="s">
        <v>1</v>
      </c>
      <c r="D970" s="2" t="s">
        <v>8</v>
      </c>
      <c r="E970" s="2" t="s">
        <v>3</v>
      </c>
      <c r="F970" s="9" t="s">
        <v>12</v>
      </c>
      <c r="G970" s="9" t="str">
        <f t="shared" si="31"/>
        <v>Fruits</v>
      </c>
      <c r="H970" s="25">
        <v>7.63</v>
      </c>
      <c r="I970" s="6">
        <v>11</v>
      </c>
      <c r="J970" s="25">
        <v>5.88</v>
      </c>
      <c r="K970" s="25">
        <v>89.81</v>
      </c>
      <c r="L970" s="9">
        <v>0</v>
      </c>
      <c r="M970" s="39" t="str">
        <f t="shared" si="30"/>
        <v>Normal Transaction</v>
      </c>
    </row>
    <row r="971" spans="1:13" x14ac:dyDescent="0.35">
      <c r="A971" s="27">
        <v>970</v>
      </c>
      <c r="B971" s="2" t="s">
        <v>31</v>
      </c>
      <c r="C971" s="2" t="s">
        <v>1</v>
      </c>
      <c r="D971" s="2" t="s">
        <v>8</v>
      </c>
      <c r="E971" s="2" t="s">
        <v>3</v>
      </c>
      <c r="F971" s="9" t="s">
        <v>10</v>
      </c>
      <c r="G971" s="9" t="str">
        <f t="shared" si="31"/>
        <v>Stationery</v>
      </c>
      <c r="H971" s="25">
        <v>18.7</v>
      </c>
      <c r="I971" s="6">
        <v>6</v>
      </c>
      <c r="J971" s="25">
        <v>7.85</v>
      </c>
      <c r="K971" s="25">
        <v>120.05</v>
      </c>
      <c r="L971" s="9">
        <v>0</v>
      </c>
      <c r="M971" s="39" t="str">
        <f t="shared" si="30"/>
        <v>Normal Transaction</v>
      </c>
    </row>
    <row r="972" spans="1:13" x14ac:dyDescent="0.35">
      <c r="A972" s="27">
        <v>971</v>
      </c>
      <c r="B972" s="2" t="s">
        <v>0</v>
      </c>
      <c r="C972" s="2" t="s">
        <v>14</v>
      </c>
      <c r="D972" s="2" t="s">
        <v>8</v>
      </c>
      <c r="E972" s="2" t="s">
        <v>3</v>
      </c>
      <c r="F972" s="9" t="s">
        <v>4</v>
      </c>
      <c r="G972" s="9" t="str">
        <f t="shared" si="31"/>
        <v>Personal Care</v>
      </c>
      <c r="H972" s="25">
        <v>7.12</v>
      </c>
      <c r="I972" s="6">
        <v>19</v>
      </c>
      <c r="J972" s="25">
        <v>9.4700000000000006</v>
      </c>
      <c r="K972" s="25">
        <v>144.75</v>
      </c>
      <c r="L972" s="9">
        <v>0</v>
      </c>
      <c r="M972" s="39" t="str">
        <f t="shared" si="30"/>
        <v>Normal Transaction</v>
      </c>
    </row>
    <row r="973" spans="1:13" x14ac:dyDescent="0.35">
      <c r="A973" s="27">
        <v>972</v>
      </c>
      <c r="B973" s="2" t="s">
        <v>31</v>
      </c>
      <c r="C973" s="2" t="s">
        <v>1</v>
      </c>
      <c r="D973" s="2" t="s">
        <v>8</v>
      </c>
      <c r="E973" s="2" t="s">
        <v>9</v>
      </c>
      <c r="F973" s="9" t="s">
        <v>4</v>
      </c>
      <c r="G973" s="9" t="str">
        <f t="shared" si="31"/>
        <v>Personal Care</v>
      </c>
      <c r="H973" s="25">
        <v>13.28</v>
      </c>
      <c r="I973" s="6">
        <v>2</v>
      </c>
      <c r="J973" s="25">
        <v>1.86</v>
      </c>
      <c r="K973" s="25">
        <v>28.42</v>
      </c>
      <c r="L973" s="9">
        <v>0</v>
      </c>
      <c r="M973" s="39" t="str">
        <f t="shared" si="30"/>
        <v>Normal Transaction</v>
      </c>
    </row>
    <row r="974" spans="1:13" x14ac:dyDescent="0.35">
      <c r="A974" s="27">
        <v>973</v>
      </c>
      <c r="B974" s="2" t="s">
        <v>31</v>
      </c>
      <c r="C974" s="2" t="s">
        <v>1</v>
      </c>
      <c r="D974" s="2" t="s">
        <v>2</v>
      </c>
      <c r="E974" s="2" t="s">
        <v>9</v>
      </c>
      <c r="F974" s="9" t="s">
        <v>15</v>
      </c>
      <c r="G974" s="9" t="str">
        <f t="shared" si="31"/>
        <v>Household</v>
      </c>
      <c r="H974" s="25">
        <v>6.22</v>
      </c>
      <c r="I974" s="6">
        <v>10</v>
      </c>
      <c r="J974" s="25">
        <v>4.3499999999999996</v>
      </c>
      <c r="K974" s="25">
        <v>66.55</v>
      </c>
      <c r="L974" s="9">
        <v>6</v>
      </c>
      <c r="M974" s="39" t="str">
        <f t="shared" si="30"/>
        <v>Normal Transaction</v>
      </c>
    </row>
    <row r="975" spans="1:13" x14ac:dyDescent="0.35">
      <c r="A975" s="27">
        <v>974</v>
      </c>
      <c r="B975" s="2" t="s">
        <v>31</v>
      </c>
      <c r="C975" s="2" t="s">
        <v>1</v>
      </c>
      <c r="D975" s="2" t="s">
        <v>8</v>
      </c>
      <c r="E975" s="2" t="s">
        <v>9</v>
      </c>
      <c r="F975" s="9" t="s">
        <v>10</v>
      </c>
      <c r="G975" s="9" t="str">
        <f t="shared" si="31"/>
        <v>Stationery</v>
      </c>
      <c r="H975" s="25">
        <v>6.41</v>
      </c>
      <c r="I975" s="6">
        <v>8</v>
      </c>
      <c r="J975" s="25">
        <v>3.59</v>
      </c>
      <c r="K975" s="25">
        <v>54.87</v>
      </c>
      <c r="L975" s="9">
        <v>0</v>
      </c>
      <c r="M975" s="39" t="str">
        <f t="shared" si="30"/>
        <v>Normal Transaction</v>
      </c>
    </row>
    <row r="976" spans="1:13" x14ac:dyDescent="0.35">
      <c r="A976" s="27">
        <v>975</v>
      </c>
      <c r="B976" s="2" t="s">
        <v>31</v>
      </c>
      <c r="C976" s="2" t="s">
        <v>1</v>
      </c>
      <c r="D976" s="2" t="s">
        <v>2</v>
      </c>
      <c r="E976" s="2" t="s">
        <v>3</v>
      </c>
      <c r="F976" s="9" t="s">
        <v>15</v>
      </c>
      <c r="G976" s="9" t="str">
        <f t="shared" si="31"/>
        <v>Household</v>
      </c>
      <c r="H976" s="25">
        <v>10.01</v>
      </c>
      <c r="I976" s="6">
        <v>2</v>
      </c>
      <c r="J976" s="25">
        <v>1.4</v>
      </c>
      <c r="K976" s="25">
        <v>21.42</v>
      </c>
      <c r="L976" s="9">
        <v>2</v>
      </c>
      <c r="M976" s="39" t="str">
        <f t="shared" si="30"/>
        <v>Normal Transaction</v>
      </c>
    </row>
    <row r="977" spans="1:13" x14ac:dyDescent="0.35">
      <c r="A977" s="27">
        <v>976</v>
      </c>
      <c r="B977" s="2" t="s">
        <v>31</v>
      </c>
      <c r="C977" s="2" t="s">
        <v>1</v>
      </c>
      <c r="D977" s="2" t="s">
        <v>2</v>
      </c>
      <c r="E977" s="2" t="s">
        <v>3</v>
      </c>
      <c r="F977" s="9" t="s">
        <v>4</v>
      </c>
      <c r="G977" s="9" t="str">
        <f t="shared" si="31"/>
        <v>Personal Care</v>
      </c>
      <c r="H977" s="25">
        <v>7.51</v>
      </c>
      <c r="I977" s="6">
        <v>11</v>
      </c>
      <c r="J977" s="25">
        <v>5.78</v>
      </c>
      <c r="K977" s="25">
        <v>88.39</v>
      </c>
      <c r="L977" s="9">
        <v>8</v>
      </c>
      <c r="M977" s="39" t="str">
        <f t="shared" si="30"/>
        <v>Normal Transaction</v>
      </c>
    </row>
    <row r="978" spans="1:13" x14ac:dyDescent="0.35">
      <c r="A978" s="27">
        <v>977</v>
      </c>
      <c r="B978" s="2" t="s">
        <v>0</v>
      </c>
      <c r="C978" s="2" t="s">
        <v>14</v>
      </c>
      <c r="D978" s="2" t="s">
        <v>2</v>
      </c>
      <c r="E978" s="2" t="s">
        <v>9</v>
      </c>
      <c r="F978" s="9" t="s">
        <v>12</v>
      </c>
      <c r="G978" s="9" t="str">
        <f t="shared" si="31"/>
        <v>Fruits</v>
      </c>
      <c r="H978" s="25">
        <v>15.18</v>
      </c>
      <c r="I978" s="6">
        <v>7</v>
      </c>
      <c r="J978" s="25">
        <v>7.44</v>
      </c>
      <c r="K978" s="25">
        <v>113.7</v>
      </c>
      <c r="L978" s="9">
        <v>11</v>
      </c>
      <c r="M978" s="39" t="str">
        <f t="shared" si="30"/>
        <v>Normal Transaction</v>
      </c>
    </row>
    <row r="979" spans="1:13" x14ac:dyDescent="0.35">
      <c r="A979" s="27">
        <v>978</v>
      </c>
      <c r="B979" s="2" t="s">
        <v>6</v>
      </c>
      <c r="C979" s="2" t="s">
        <v>7</v>
      </c>
      <c r="D979" s="2" t="s">
        <v>2</v>
      </c>
      <c r="E979" s="2" t="s">
        <v>3</v>
      </c>
      <c r="F979" s="9" t="s">
        <v>10</v>
      </c>
      <c r="G979" s="9" t="str">
        <f t="shared" si="31"/>
        <v>Stationery</v>
      </c>
      <c r="H979" s="25">
        <v>2.04</v>
      </c>
      <c r="I979" s="6">
        <v>10</v>
      </c>
      <c r="J979" s="25">
        <v>1.43</v>
      </c>
      <c r="K979" s="25">
        <v>21.83</v>
      </c>
      <c r="L979" s="9">
        <v>2</v>
      </c>
      <c r="M979" s="39" t="str">
        <f t="shared" si="30"/>
        <v>Normal Transaction</v>
      </c>
    </row>
    <row r="980" spans="1:13" x14ac:dyDescent="0.35">
      <c r="A980" s="27">
        <v>979</v>
      </c>
      <c r="B980" s="2" t="s">
        <v>0</v>
      </c>
      <c r="C980" s="2" t="s">
        <v>14</v>
      </c>
      <c r="D980" s="2" t="s">
        <v>2</v>
      </c>
      <c r="E980" s="2" t="s">
        <v>9</v>
      </c>
      <c r="F980" s="9" t="s">
        <v>17</v>
      </c>
      <c r="G980" s="9" t="str">
        <f t="shared" si="31"/>
        <v>Beverages</v>
      </c>
      <c r="H980" s="25">
        <v>18.34</v>
      </c>
      <c r="I980" s="6">
        <v>13</v>
      </c>
      <c r="J980" s="25">
        <v>16.690000000000001</v>
      </c>
      <c r="K980" s="25">
        <v>255.11</v>
      </c>
      <c r="L980" s="9">
        <v>25</v>
      </c>
      <c r="M980" s="39" t="str">
        <f t="shared" si="30"/>
        <v>Normal Transaction</v>
      </c>
    </row>
    <row r="981" spans="1:13" x14ac:dyDescent="0.35">
      <c r="A981" s="27">
        <v>980</v>
      </c>
      <c r="B981" s="2" t="s">
        <v>6</v>
      </c>
      <c r="C981" s="2" t="s">
        <v>7</v>
      </c>
      <c r="D981" s="2" t="s">
        <v>8</v>
      </c>
      <c r="E981" s="2" t="s">
        <v>3</v>
      </c>
      <c r="F981" s="9" t="s">
        <v>17</v>
      </c>
      <c r="G981" s="9" t="str">
        <f t="shared" si="31"/>
        <v>Beverages</v>
      </c>
      <c r="H981" s="25">
        <v>1.0900000000000001</v>
      </c>
      <c r="I981" s="6">
        <v>8</v>
      </c>
      <c r="J981" s="25">
        <v>0.61</v>
      </c>
      <c r="K981" s="25">
        <v>9.33</v>
      </c>
      <c r="L981" s="9">
        <v>0</v>
      </c>
      <c r="M981" s="39" t="str">
        <f t="shared" si="30"/>
        <v>Normal Transaction</v>
      </c>
    </row>
    <row r="982" spans="1:13" x14ac:dyDescent="0.35">
      <c r="A982" s="27">
        <v>981</v>
      </c>
      <c r="B982" s="2" t="s">
        <v>31</v>
      </c>
      <c r="C982" s="2" t="s">
        <v>1</v>
      </c>
      <c r="D982" s="2" t="s">
        <v>2</v>
      </c>
      <c r="E982" s="2" t="s">
        <v>3</v>
      </c>
      <c r="F982" s="9" t="s">
        <v>4</v>
      </c>
      <c r="G982" s="9" t="str">
        <f t="shared" si="31"/>
        <v>Personal Care</v>
      </c>
      <c r="H982" s="25">
        <v>17.559999999999999</v>
      </c>
      <c r="I982" s="6">
        <v>16</v>
      </c>
      <c r="J982" s="25">
        <v>19.670000000000002</v>
      </c>
      <c r="K982" s="25">
        <v>300.63</v>
      </c>
      <c r="L982" s="9">
        <v>30</v>
      </c>
      <c r="M982" s="39" t="str">
        <f t="shared" si="30"/>
        <v>Normal Transaction</v>
      </c>
    </row>
    <row r="983" spans="1:13" x14ac:dyDescent="0.35">
      <c r="A983" s="27">
        <v>982</v>
      </c>
      <c r="B983" s="2" t="s">
        <v>0</v>
      </c>
      <c r="C983" s="2" t="s">
        <v>14</v>
      </c>
      <c r="D983" s="2" t="s">
        <v>2</v>
      </c>
      <c r="E983" s="2" t="s">
        <v>3</v>
      </c>
      <c r="F983" s="9" t="s">
        <v>12</v>
      </c>
      <c r="G983" s="9" t="str">
        <f t="shared" si="31"/>
        <v>Fruits</v>
      </c>
      <c r="H983" s="25">
        <v>1.23</v>
      </c>
      <c r="I983" s="6">
        <v>1</v>
      </c>
      <c r="J983" s="25">
        <v>0.09</v>
      </c>
      <c r="K983" s="25">
        <v>1.32</v>
      </c>
      <c r="L983" s="9">
        <v>0</v>
      </c>
      <c r="M983" s="39" t="str">
        <f t="shared" si="30"/>
        <v>Normal Transaction</v>
      </c>
    </row>
    <row r="984" spans="1:13" x14ac:dyDescent="0.35">
      <c r="A984" s="27">
        <v>983</v>
      </c>
      <c r="B984" s="2" t="s">
        <v>0</v>
      </c>
      <c r="C984" s="2" t="s">
        <v>14</v>
      </c>
      <c r="D984" s="2" t="s">
        <v>8</v>
      </c>
      <c r="E984" s="2" t="s">
        <v>9</v>
      </c>
      <c r="F984" s="9" t="s">
        <v>12</v>
      </c>
      <c r="G984" s="9" t="str">
        <f t="shared" si="31"/>
        <v>Fruits</v>
      </c>
      <c r="H984" s="25">
        <v>8.02</v>
      </c>
      <c r="I984" s="6">
        <v>9</v>
      </c>
      <c r="J984" s="25">
        <v>5.05</v>
      </c>
      <c r="K984" s="25">
        <v>77.23</v>
      </c>
      <c r="L984" s="9">
        <v>0</v>
      </c>
      <c r="M984" s="39" t="str">
        <f t="shared" si="30"/>
        <v>Normal Transaction</v>
      </c>
    </row>
    <row r="985" spans="1:13" x14ac:dyDescent="0.35">
      <c r="A985" s="27">
        <v>984</v>
      </c>
      <c r="B985" s="2" t="s">
        <v>6</v>
      </c>
      <c r="C985" s="2" t="s">
        <v>7</v>
      </c>
      <c r="D985" s="2" t="s">
        <v>2</v>
      </c>
      <c r="E985" s="2" t="s">
        <v>9</v>
      </c>
      <c r="F985" s="9" t="s">
        <v>17</v>
      </c>
      <c r="G985" s="9" t="str">
        <f t="shared" si="31"/>
        <v>Beverages</v>
      </c>
      <c r="H985" s="25">
        <v>11.14</v>
      </c>
      <c r="I985" s="6">
        <v>2</v>
      </c>
      <c r="J985" s="25">
        <v>1.56</v>
      </c>
      <c r="K985" s="25">
        <v>23.84</v>
      </c>
      <c r="L985" s="9">
        <v>2</v>
      </c>
      <c r="M985" s="39" t="str">
        <f t="shared" si="30"/>
        <v>Normal Transaction</v>
      </c>
    </row>
    <row r="986" spans="1:13" x14ac:dyDescent="0.35">
      <c r="A986" s="27">
        <v>985</v>
      </c>
      <c r="B986" s="2" t="s">
        <v>0</v>
      </c>
      <c r="C986" s="2" t="s">
        <v>14</v>
      </c>
      <c r="D986" s="2" t="s">
        <v>2</v>
      </c>
      <c r="E986" s="2" t="s">
        <v>3</v>
      </c>
      <c r="F986" s="9" t="s">
        <v>4</v>
      </c>
      <c r="G986" s="9" t="str">
        <f t="shared" si="31"/>
        <v>Personal Care</v>
      </c>
      <c r="H986" s="25">
        <v>20.96</v>
      </c>
      <c r="I986" s="6">
        <v>2</v>
      </c>
      <c r="J986" s="25">
        <v>2.93</v>
      </c>
      <c r="K986" s="25">
        <v>44.85</v>
      </c>
      <c r="L986" s="9">
        <v>4</v>
      </c>
      <c r="M986" s="39" t="str">
        <f t="shared" si="30"/>
        <v>Normal Transaction</v>
      </c>
    </row>
    <row r="987" spans="1:13" x14ac:dyDescent="0.35">
      <c r="A987" s="27">
        <v>986</v>
      </c>
      <c r="B987" s="2" t="s">
        <v>31</v>
      </c>
      <c r="C987" s="2" t="s">
        <v>1</v>
      </c>
      <c r="D987" s="2" t="s">
        <v>2</v>
      </c>
      <c r="E987" s="2" t="s">
        <v>3</v>
      </c>
      <c r="F987" s="9" t="s">
        <v>17</v>
      </c>
      <c r="G987" s="9" t="str">
        <f t="shared" si="31"/>
        <v>Beverages</v>
      </c>
      <c r="H987" s="25">
        <v>6.85</v>
      </c>
      <c r="I987" s="6">
        <v>19</v>
      </c>
      <c r="J987" s="25">
        <v>9.11</v>
      </c>
      <c r="K987" s="25">
        <v>139.26</v>
      </c>
      <c r="L987" s="9">
        <v>13</v>
      </c>
      <c r="M987" s="39" t="str">
        <f t="shared" si="30"/>
        <v>Normal Transaction</v>
      </c>
    </row>
    <row r="988" spans="1:13" x14ac:dyDescent="0.35">
      <c r="A988" s="27">
        <v>987</v>
      </c>
      <c r="B988" s="2" t="s">
        <v>31</v>
      </c>
      <c r="C988" s="2" t="s">
        <v>1</v>
      </c>
      <c r="D988" s="2" t="s">
        <v>8</v>
      </c>
      <c r="E988" s="2" t="s">
        <v>3</v>
      </c>
      <c r="F988" s="9" t="s">
        <v>12</v>
      </c>
      <c r="G988" s="9" t="str">
        <f t="shared" si="31"/>
        <v>Fruits</v>
      </c>
      <c r="H988" s="25">
        <v>2.31</v>
      </c>
      <c r="I988" s="6">
        <v>19</v>
      </c>
      <c r="J988" s="25">
        <v>3.07</v>
      </c>
      <c r="K988" s="25">
        <v>46.96</v>
      </c>
      <c r="L988" s="9">
        <v>0</v>
      </c>
      <c r="M988" s="39" t="str">
        <f t="shared" si="30"/>
        <v>Normal Transaction</v>
      </c>
    </row>
    <row r="989" spans="1:13" x14ac:dyDescent="0.35">
      <c r="A989" s="27">
        <v>988</v>
      </c>
      <c r="B989" s="2" t="s">
        <v>31</v>
      </c>
      <c r="C989" s="2" t="s">
        <v>1</v>
      </c>
      <c r="D989" s="2" t="s">
        <v>2</v>
      </c>
      <c r="E989" s="2" t="s">
        <v>9</v>
      </c>
      <c r="F989" s="9" t="s">
        <v>12</v>
      </c>
      <c r="G989" s="9" t="str">
        <f t="shared" si="31"/>
        <v>Fruits</v>
      </c>
      <c r="H989" s="25">
        <v>11.35</v>
      </c>
      <c r="I989" s="6">
        <v>9</v>
      </c>
      <c r="J989" s="25">
        <v>7.15</v>
      </c>
      <c r="K989" s="25">
        <v>109.3</v>
      </c>
      <c r="L989" s="9">
        <v>10</v>
      </c>
      <c r="M989" s="39" t="str">
        <f t="shared" si="30"/>
        <v>Normal Transaction</v>
      </c>
    </row>
    <row r="990" spans="1:13" x14ac:dyDescent="0.35">
      <c r="A990" s="27">
        <v>989</v>
      </c>
      <c r="B990" s="2" t="s">
        <v>6</v>
      </c>
      <c r="C990" s="2" t="s">
        <v>7</v>
      </c>
      <c r="D990" s="2" t="s">
        <v>2</v>
      </c>
      <c r="E990" s="2" t="s">
        <v>9</v>
      </c>
      <c r="F990" s="9" t="s">
        <v>4</v>
      </c>
      <c r="G990" s="9" t="str">
        <f t="shared" si="31"/>
        <v>Personal Care</v>
      </c>
      <c r="H990" s="25">
        <v>10.49</v>
      </c>
      <c r="I990" s="6">
        <v>9</v>
      </c>
      <c r="J990" s="25">
        <v>6.61</v>
      </c>
      <c r="K990" s="25">
        <v>101.02</v>
      </c>
      <c r="L990" s="9">
        <v>10</v>
      </c>
      <c r="M990" s="39" t="str">
        <f t="shared" si="30"/>
        <v>Normal Transaction</v>
      </c>
    </row>
    <row r="991" spans="1:13" x14ac:dyDescent="0.35">
      <c r="A991" s="27">
        <v>990</v>
      </c>
      <c r="B991" s="2" t="s">
        <v>0</v>
      </c>
      <c r="C991" s="2" t="s">
        <v>14</v>
      </c>
      <c r="D991" s="2" t="s">
        <v>2</v>
      </c>
      <c r="E991" s="2" t="s">
        <v>9</v>
      </c>
      <c r="F991" s="9" t="s">
        <v>10</v>
      </c>
      <c r="G991" s="9" t="str">
        <f t="shared" si="31"/>
        <v>Stationery</v>
      </c>
      <c r="H991" s="25">
        <v>5.67</v>
      </c>
      <c r="I991" s="6">
        <v>10</v>
      </c>
      <c r="J991" s="25">
        <v>3.97</v>
      </c>
      <c r="K991" s="25">
        <v>60.67</v>
      </c>
      <c r="L991" s="9">
        <v>6</v>
      </c>
      <c r="M991" s="39" t="str">
        <f t="shared" si="30"/>
        <v>Normal Transaction</v>
      </c>
    </row>
    <row r="992" spans="1:13" x14ac:dyDescent="0.35">
      <c r="A992" s="27">
        <v>991</v>
      </c>
      <c r="B992" s="2" t="s">
        <v>0</v>
      </c>
      <c r="C992" s="2" t="s">
        <v>14</v>
      </c>
      <c r="D992" s="2" t="s">
        <v>8</v>
      </c>
      <c r="E992" s="2" t="s">
        <v>9</v>
      </c>
      <c r="F992" s="9" t="s">
        <v>15</v>
      </c>
      <c r="G992" s="9" t="str">
        <f t="shared" si="31"/>
        <v>Household</v>
      </c>
      <c r="H992" s="25">
        <v>8.18</v>
      </c>
      <c r="I992" s="6">
        <v>1</v>
      </c>
      <c r="J992" s="25">
        <v>0.56999999999999995</v>
      </c>
      <c r="K992" s="25">
        <v>8.75</v>
      </c>
      <c r="L992" s="9">
        <v>0</v>
      </c>
      <c r="M992" s="39" t="str">
        <f t="shared" si="30"/>
        <v>Normal Transaction</v>
      </c>
    </row>
    <row r="993" spans="1:13" x14ac:dyDescent="0.35">
      <c r="A993" s="27">
        <v>992</v>
      </c>
      <c r="B993" s="2" t="s">
        <v>31</v>
      </c>
      <c r="C993" s="2" t="s">
        <v>1</v>
      </c>
      <c r="D993" s="2" t="s">
        <v>8</v>
      </c>
      <c r="E993" s="2" t="s">
        <v>3</v>
      </c>
      <c r="F993" s="9" t="s">
        <v>10</v>
      </c>
      <c r="G993" s="9" t="str">
        <f t="shared" si="31"/>
        <v>Stationery</v>
      </c>
      <c r="H993" s="25">
        <v>11.33</v>
      </c>
      <c r="I993" s="6">
        <v>9</v>
      </c>
      <c r="J993" s="25">
        <v>7.14</v>
      </c>
      <c r="K993" s="25">
        <v>109.11</v>
      </c>
      <c r="L993" s="9">
        <v>0</v>
      </c>
      <c r="M993" s="39" t="str">
        <f t="shared" si="30"/>
        <v>Normal Transaction</v>
      </c>
    </row>
    <row r="994" spans="1:13" x14ac:dyDescent="0.35">
      <c r="A994" s="27">
        <v>993</v>
      </c>
      <c r="B994" s="2" t="s">
        <v>31</v>
      </c>
      <c r="C994" s="2" t="s">
        <v>1</v>
      </c>
      <c r="D994" s="2" t="s">
        <v>8</v>
      </c>
      <c r="E994" s="2" t="s">
        <v>9</v>
      </c>
      <c r="F994" s="9" t="s">
        <v>12</v>
      </c>
      <c r="G994" s="9" t="str">
        <f t="shared" si="31"/>
        <v>Fruits</v>
      </c>
      <c r="H994" s="25">
        <v>4.59</v>
      </c>
      <c r="I994" s="6">
        <v>19</v>
      </c>
      <c r="J994" s="25">
        <v>6.1</v>
      </c>
      <c r="K994" s="25">
        <v>93.31</v>
      </c>
      <c r="L994" s="9">
        <v>0</v>
      </c>
      <c r="M994" s="39" t="str">
        <f t="shared" si="30"/>
        <v>Normal Transaction</v>
      </c>
    </row>
    <row r="995" spans="1:13" x14ac:dyDescent="0.35">
      <c r="A995" s="27">
        <v>994</v>
      </c>
      <c r="B995" s="2" t="s">
        <v>31</v>
      </c>
      <c r="C995" s="2" t="s">
        <v>1</v>
      </c>
      <c r="D995" s="2" t="s">
        <v>8</v>
      </c>
      <c r="E995" s="2" t="s">
        <v>9</v>
      </c>
      <c r="F995" s="9" t="s">
        <v>17</v>
      </c>
      <c r="G995" s="9" t="str">
        <f t="shared" si="31"/>
        <v>Beverages</v>
      </c>
      <c r="H995" s="25">
        <v>5.16</v>
      </c>
      <c r="I995" s="6">
        <v>13</v>
      </c>
      <c r="J995" s="25">
        <v>4.7</v>
      </c>
      <c r="K995" s="25">
        <v>71.78</v>
      </c>
      <c r="L995" s="9">
        <v>0</v>
      </c>
      <c r="M995" s="39" t="str">
        <f t="shared" si="30"/>
        <v>Normal Transaction</v>
      </c>
    </row>
    <row r="996" spans="1:13" x14ac:dyDescent="0.35">
      <c r="A996" s="27">
        <v>995</v>
      </c>
      <c r="B996" s="2" t="s">
        <v>31</v>
      </c>
      <c r="C996" s="2" t="s">
        <v>1</v>
      </c>
      <c r="D996" s="2" t="s">
        <v>2</v>
      </c>
      <c r="E996" s="2" t="s">
        <v>3</v>
      </c>
      <c r="F996" s="9" t="s">
        <v>10</v>
      </c>
      <c r="G996" s="9" t="str">
        <f t="shared" si="31"/>
        <v>Stationery</v>
      </c>
      <c r="H996" s="25">
        <v>6.6</v>
      </c>
      <c r="I996" s="6">
        <v>5</v>
      </c>
      <c r="J996" s="25">
        <v>2.31</v>
      </c>
      <c r="K996" s="25">
        <v>35.31</v>
      </c>
      <c r="L996" s="9">
        <v>3</v>
      </c>
      <c r="M996" s="39" t="str">
        <f t="shared" si="30"/>
        <v>Normal Transaction</v>
      </c>
    </row>
    <row r="997" spans="1:13" x14ac:dyDescent="0.35">
      <c r="A997" s="27">
        <v>996</v>
      </c>
      <c r="B997" s="2" t="s">
        <v>31</v>
      </c>
      <c r="C997" s="2" t="s">
        <v>1</v>
      </c>
      <c r="D997" s="2" t="s">
        <v>2</v>
      </c>
      <c r="E997" s="2" t="s">
        <v>9</v>
      </c>
      <c r="F997" s="9" t="s">
        <v>4</v>
      </c>
      <c r="G997" s="9" t="str">
        <f t="shared" si="31"/>
        <v>Personal Care</v>
      </c>
      <c r="H997" s="25">
        <v>1.55</v>
      </c>
      <c r="I997" s="6">
        <v>11</v>
      </c>
      <c r="J997" s="25">
        <v>1.19</v>
      </c>
      <c r="K997" s="25">
        <v>18.239999999999998</v>
      </c>
      <c r="L997" s="9">
        <v>1</v>
      </c>
      <c r="M997" s="39" t="str">
        <f t="shared" si="30"/>
        <v>Normal Transaction</v>
      </c>
    </row>
    <row r="998" spans="1:13" x14ac:dyDescent="0.35">
      <c r="A998" s="27">
        <v>997</v>
      </c>
      <c r="B998" s="2" t="s">
        <v>31</v>
      </c>
      <c r="C998" s="2" t="s">
        <v>1</v>
      </c>
      <c r="D998" s="2" t="s">
        <v>2</v>
      </c>
      <c r="E998" s="2" t="s">
        <v>3</v>
      </c>
      <c r="F998" s="9" t="s">
        <v>15</v>
      </c>
      <c r="G998" s="9" t="str">
        <f t="shared" si="31"/>
        <v>Household</v>
      </c>
      <c r="H998" s="25">
        <v>2.44</v>
      </c>
      <c r="I998" s="6">
        <v>7</v>
      </c>
      <c r="J998" s="25">
        <v>1.2</v>
      </c>
      <c r="K998" s="25">
        <v>18.28</v>
      </c>
      <c r="L998" s="9">
        <v>1</v>
      </c>
      <c r="M998" s="39" t="str">
        <f t="shared" si="30"/>
        <v>Normal Transaction</v>
      </c>
    </row>
    <row r="999" spans="1:13" x14ac:dyDescent="0.35">
      <c r="A999" s="27">
        <v>998</v>
      </c>
      <c r="B999" s="2" t="s">
        <v>31</v>
      </c>
      <c r="C999" s="2" t="s">
        <v>1</v>
      </c>
      <c r="D999" s="2" t="s">
        <v>2</v>
      </c>
      <c r="E999" s="2" t="s">
        <v>9</v>
      </c>
      <c r="F999" s="9" t="s">
        <v>4</v>
      </c>
      <c r="G999" s="9" t="str">
        <f t="shared" si="31"/>
        <v>Personal Care</v>
      </c>
      <c r="H999" s="25">
        <v>17.920000000000002</v>
      </c>
      <c r="I999" s="6">
        <v>2</v>
      </c>
      <c r="J999" s="25">
        <v>2.5099999999999998</v>
      </c>
      <c r="K999" s="25">
        <v>38.35</v>
      </c>
      <c r="L999" s="9">
        <v>3</v>
      </c>
      <c r="M999" s="39" t="str">
        <f t="shared" si="30"/>
        <v>Normal Transaction</v>
      </c>
    </row>
    <row r="1000" spans="1:13" x14ac:dyDescent="0.35">
      <c r="A1000" s="27">
        <v>999</v>
      </c>
      <c r="B1000" s="2" t="s">
        <v>31</v>
      </c>
      <c r="C1000" s="2" t="s">
        <v>1</v>
      </c>
      <c r="D1000" s="2" t="s">
        <v>2</v>
      </c>
      <c r="E1000" s="2" t="s">
        <v>9</v>
      </c>
      <c r="F1000" s="9" t="s">
        <v>4</v>
      </c>
      <c r="G1000" s="9" t="str">
        <f t="shared" si="31"/>
        <v>Personal Care</v>
      </c>
      <c r="H1000" s="25">
        <v>17.41</v>
      </c>
      <c r="I1000" s="6">
        <v>4</v>
      </c>
      <c r="J1000" s="25">
        <v>4.87</v>
      </c>
      <c r="K1000" s="25">
        <v>74.510000000000005</v>
      </c>
      <c r="L1000" s="9">
        <v>7</v>
      </c>
      <c r="M1000" s="39" t="str">
        <f t="shared" si="30"/>
        <v>Normal Transaction</v>
      </c>
    </row>
    <row r="1001" spans="1:13" ht="15" thickBot="1" x14ac:dyDescent="0.4">
      <c r="A1001" s="36">
        <v>1000</v>
      </c>
      <c r="B1001" s="3" t="s">
        <v>31</v>
      </c>
      <c r="C1001" s="3" t="s">
        <v>1</v>
      </c>
      <c r="D1001" s="3" t="s">
        <v>8</v>
      </c>
      <c r="E1001" s="3" t="s">
        <v>3</v>
      </c>
      <c r="F1001" s="10" t="s">
        <v>17</v>
      </c>
      <c r="G1001" s="9" t="str">
        <f t="shared" si="31"/>
        <v>Beverages</v>
      </c>
      <c r="H1001" s="26">
        <v>4.1100000000000003</v>
      </c>
      <c r="I1001" s="7">
        <v>4</v>
      </c>
      <c r="J1001" s="26">
        <v>1.1499999999999999</v>
      </c>
      <c r="K1001" s="26">
        <v>17.59</v>
      </c>
      <c r="L1001" s="10">
        <v>0</v>
      </c>
      <c r="M1001" s="39" t="str">
        <f t="shared" si="30"/>
        <v>Normal Transaction</v>
      </c>
    </row>
  </sheetData>
  <dataConsolidate/>
  <pageMargins left="0.7" right="0.7" top="0.75" bottom="0.75" header="0.3" footer="0.3"/>
  <ignoredErrors>
    <ignoredError sqref="R10" calculatedColumn="1"/>
  </ignoredErrors>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DB68-41E0-44EC-B152-B4EAED7FA2AA}">
  <dimension ref="A2:H44"/>
  <sheetViews>
    <sheetView workbookViewId="0">
      <selection activeCell="A40" sqref="A40"/>
    </sheetView>
  </sheetViews>
  <sheetFormatPr defaultRowHeight="14.5" x14ac:dyDescent="0.35"/>
  <cols>
    <col min="1" max="1" width="28" bestFit="1" customWidth="1"/>
    <col min="2" max="2" width="16.54296875" bestFit="1" customWidth="1"/>
    <col min="3" max="3" width="14.6328125" bestFit="1" customWidth="1"/>
    <col min="4" max="4" width="19.7265625" bestFit="1" customWidth="1"/>
    <col min="5" max="5" width="14.54296875" bestFit="1" customWidth="1"/>
    <col min="6" max="6" width="15.26953125" bestFit="1" customWidth="1"/>
    <col min="7" max="7" width="24.90625" bestFit="1" customWidth="1"/>
    <col min="8" max="8" width="10.7265625" bestFit="1" customWidth="1"/>
    <col min="9" max="9" width="14.54296875" bestFit="1" customWidth="1"/>
    <col min="10" max="10" width="18" bestFit="1" customWidth="1"/>
    <col min="11" max="11" width="19.36328125" bestFit="1" customWidth="1"/>
  </cols>
  <sheetData>
    <row r="2" spans="1:8" x14ac:dyDescent="0.35">
      <c r="A2" s="17" t="s">
        <v>53</v>
      </c>
      <c r="D2" s="17" t="s">
        <v>49</v>
      </c>
      <c r="G2" s="20" t="s">
        <v>50</v>
      </c>
    </row>
    <row r="3" spans="1:8" x14ac:dyDescent="0.35">
      <c r="A3" t="s">
        <v>36</v>
      </c>
      <c r="D3" t="s">
        <v>42</v>
      </c>
      <c r="G3" t="s">
        <v>38</v>
      </c>
    </row>
    <row r="4" spans="1:8" x14ac:dyDescent="0.35">
      <c r="A4" s="22">
        <v>118583.90000000005</v>
      </c>
      <c r="B4" s="22">
        <f>GETPIVOTDATA("Total_Price",$A$3)</f>
        <v>118583.90000000005</v>
      </c>
      <c r="D4">
        <v>1000</v>
      </c>
      <c r="E4">
        <f>GETPIVOTDATA("Sale_Id",$D$3)</f>
        <v>1000</v>
      </c>
      <c r="G4" s="16">
        <v>10337</v>
      </c>
      <c r="H4">
        <f>GETPIVOTDATA("Quantity",$G$3)</f>
        <v>10337</v>
      </c>
    </row>
    <row r="6" spans="1:8" x14ac:dyDescent="0.35">
      <c r="A6" s="20" t="s">
        <v>51</v>
      </c>
      <c r="D6" s="20" t="s">
        <v>54</v>
      </c>
      <c r="E6" s="12"/>
      <c r="G6" s="35"/>
    </row>
    <row r="7" spans="1:8" x14ac:dyDescent="0.35">
      <c r="A7" t="s">
        <v>37</v>
      </c>
      <c r="D7" t="s">
        <v>39</v>
      </c>
    </row>
    <row r="8" spans="1:8" x14ac:dyDescent="0.35">
      <c r="A8" s="23">
        <v>118.58390000000006</v>
      </c>
      <c r="B8" s="23">
        <f>GETPIVOTDATA("Total_Price",$A$7)</f>
        <v>118.58390000000006</v>
      </c>
      <c r="D8" s="23">
        <v>10.337</v>
      </c>
      <c r="F8" s="23">
        <f>GETPIVOTDATA("Quantity",$D$7)</f>
        <v>10.337</v>
      </c>
      <c r="H8" s="23"/>
    </row>
    <row r="10" spans="1:8" x14ac:dyDescent="0.35">
      <c r="A10" s="20" t="s">
        <v>70</v>
      </c>
      <c r="B10" s="12"/>
      <c r="D10" s="19" t="s">
        <v>52</v>
      </c>
      <c r="E10" s="12"/>
      <c r="G10" s="19" t="s">
        <v>58</v>
      </c>
      <c r="H10" s="12"/>
    </row>
    <row r="11" spans="1:8" x14ac:dyDescent="0.35">
      <c r="A11" s="11" t="s">
        <v>34</v>
      </c>
      <c r="B11" t="s">
        <v>36</v>
      </c>
      <c r="D11" s="11" t="s">
        <v>34</v>
      </c>
      <c r="E11" t="s">
        <v>36</v>
      </c>
      <c r="G11" s="11" t="s">
        <v>34</v>
      </c>
      <c r="H11" t="s">
        <v>38</v>
      </c>
    </row>
    <row r="12" spans="1:8" x14ac:dyDescent="0.35">
      <c r="A12" s="13" t="s">
        <v>4</v>
      </c>
      <c r="B12" s="33">
        <v>0.22803567769317754</v>
      </c>
      <c r="C12" s="33">
        <f>B12/B17</f>
        <v>0.22803567769317754</v>
      </c>
      <c r="D12" s="13" t="s">
        <v>2</v>
      </c>
      <c r="E12" s="15">
        <v>63213.63</v>
      </c>
      <c r="F12" s="32">
        <f>E12/E14</f>
        <v>0.53307093121410265</v>
      </c>
      <c r="G12" s="13" t="s">
        <v>18</v>
      </c>
      <c r="H12" s="16">
        <v>2183</v>
      </c>
    </row>
    <row r="13" spans="1:8" x14ac:dyDescent="0.35">
      <c r="A13" s="13" t="s">
        <v>10</v>
      </c>
      <c r="B13" s="33">
        <v>0.20907543098177747</v>
      </c>
      <c r="D13" s="13" t="s">
        <v>8</v>
      </c>
      <c r="E13" s="15">
        <v>55370.269999999946</v>
      </c>
      <c r="G13" s="13" t="s">
        <v>13</v>
      </c>
      <c r="H13" s="16">
        <v>1741</v>
      </c>
    </row>
    <row r="14" spans="1:8" x14ac:dyDescent="0.35">
      <c r="A14" s="13" t="s">
        <v>17</v>
      </c>
      <c r="B14" s="33">
        <v>0.20817716401636319</v>
      </c>
      <c r="D14" s="13" t="s">
        <v>35</v>
      </c>
      <c r="E14" s="15">
        <v>118583.89999999994</v>
      </c>
      <c r="G14" s="13" t="s">
        <v>16</v>
      </c>
      <c r="H14" s="16">
        <v>2010</v>
      </c>
    </row>
    <row r="15" spans="1:8" x14ac:dyDescent="0.35">
      <c r="A15" s="13" t="s">
        <v>15</v>
      </c>
      <c r="B15" s="33">
        <v>0.18930959430411703</v>
      </c>
      <c r="G15" s="13" t="s">
        <v>5</v>
      </c>
      <c r="H15" s="16">
        <v>2238</v>
      </c>
    </row>
    <row r="16" spans="1:8" x14ac:dyDescent="0.35">
      <c r="A16" s="13" t="s">
        <v>12</v>
      </c>
      <c r="B16" s="33">
        <v>0.16540213300456486</v>
      </c>
      <c r="G16" s="13" t="s">
        <v>11</v>
      </c>
      <c r="H16" s="16">
        <v>2165</v>
      </c>
    </row>
    <row r="17" spans="1:8" x14ac:dyDescent="0.35">
      <c r="A17" s="13" t="s">
        <v>35</v>
      </c>
      <c r="B17" s="14">
        <v>1</v>
      </c>
      <c r="G17" s="13" t="s">
        <v>35</v>
      </c>
      <c r="H17" s="16">
        <v>10337</v>
      </c>
    </row>
    <row r="19" spans="1:8" x14ac:dyDescent="0.35">
      <c r="A19" s="17" t="s">
        <v>55</v>
      </c>
      <c r="B19" s="12"/>
      <c r="C19" s="12"/>
      <c r="E19" s="19" t="s">
        <v>56</v>
      </c>
      <c r="F19" s="12"/>
      <c r="G19" s="12"/>
      <c r="H19" s="12"/>
    </row>
    <row r="20" spans="1:8" x14ac:dyDescent="0.35">
      <c r="A20" s="11" t="s">
        <v>34</v>
      </c>
      <c r="B20" t="s">
        <v>36</v>
      </c>
      <c r="C20" t="s">
        <v>40</v>
      </c>
      <c r="E20" s="11" t="s">
        <v>38</v>
      </c>
      <c r="F20" s="11" t="s">
        <v>41</v>
      </c>
    </row>
    <row r="21" spans="1:8" x14ac:dyDescent="0.35">
      <c r="A21" s="13" t="s">
        <v>3</v>
      </c>
      <c r="B21" s="15">
        <v>64318.449999999946</v>
      </c>
      <c r="C21" s="14">
        <v>0.52153246753246751</v>
      </c>
      <c r="E21" s="11" t="s">
        <v>34</v>
      </c>
      <c r="F21" t="s">
        <v>9</v>
      </c>
      <c r="G21" t="s">
        <v>3</v>
      </c>
      <c r="H21" t="s">
        <v>35</v>
      </c>
    </row>
    <row r="22" spans="1:8" x14ac:dyDescent="0.35">
      <c r="A22" s="13" t="s">
        <v>9</v>
      </c>
      <c r="B22" s="15">
        <v>54265.449999999975</v>
      </c>
      <c r="C22" s="14">
        <v>0.47846753246753249</v>
      </c>
      <c r="E22" s="13" t="s">
        <v>18</v>
      </c>
      <c r="F22" s="16">
        <v>982</v>
      </c>
      <c r="G22" s="16">
        <v>1201</v>
      </c>
      <c r="H22" s="16">
        <v>2183</v>
      </c>
    </row>
    <row r="23" spans="1:8" x14ac:dyDescent="0.35">
      <c r="A23" s="13" t="s">
        <v>35</v>
      </c>
      <c r="B23" s="15">
        <v>118583.89999999992</v>
      </c>
      <c r="C23" s="14">
        <v>1</v>
      </c>
      <c r="E23" s="13" t="s">
        <v>13</v>
      </c>
      <c r="F23" s="16">
        <v>830</v>
      </c>
      <c r="G23" s="16">
        <v>911</v>
      </c>
      <c r="H23" s="16">
        <v>1741</v>
      </c>
    </row>
    <row r="24" spans="1:8" x14ac:dyDescent="0.35">
      <c r="E24" s="13" t="s">
        <v>16</v>
      </c>
      <c r="F24" s="16">
        <v>1036</v>
      </c>
      <c r="G24" s="16">
        <v>974</v>
      </c>
      <c r="H24" s="16">
        <v>2010</v>
      </c>
    </row>
    <row r="25" spans="1:8" x14ac:dyDescent="0.35">
      <c r="E25" s="13" t="s">
        <v>5</v>
      </c>
      <c r="F25" s="16">
        <v>1000</v>
      </c>
      <c r="G25" s="16">
        <v>1238</v>
      </c>
      <c r="H25" s="16">
        <v>2238</v>
      </c>
    </row>
    <row r="26" spans="1:8" x14ac:dyDescent="0.35">
      <c r="E26" s="13" t="s">
        <v>11</v>
      </c>
      <c r="F26" s="16">
        <v>1095</v>
      </c>
      <c r="G26" s="16">
        <v>1070</v>
      </c>
      <c r="H26" s="16">
        <v>2165</v>
      </c>
    </row>
    <row r="27" spans="1:8" x14ac:dyDescent="0.35">
      <c r="E27" s="13" t="s">
        <v>35</v>
      </c>
      <c r="F27" s="16">
        <v>4943</v>
      </c>
      <c r="G27" s="16">
        <v>5394</v>
      </c>
      <c r="H27" s="8">
        <v>10337</v>
      </c>
    </row>
    <row r="28" spans="1:8" x14ac:dyDescent="0.35">
      <c r="A28" s="19" t="s">
        <v>57</v>
      </c>
      <c r="B28" s="12"/>
      <c r="C28" s="21"/>
    </row>
    <row r="29" spans="1:8" x14ac:dyDescent="0.35">
      <c r="A29" s="11" t="s">
        <v>34</v>
      </c>
      <c r="B29" t="s">
        <v>36</v>
      </c>
    </row>
    <row r="30" spans="1:8" x14ac:dyDescent="0.35">
      <c r="A30" s="13" t="s">
        <v>0</v>
      </c>
      <c r="B30" s="15">
        <v>42584.709999999992</v>
      </c>
      <c r="C30" s="34">
        <f>B30/B33</f>
        <v>0.35911038513659943</v>
      </c>
    </row>
    <row r="31" spans="1:8" x14ac:dyDescent="0.35">
      <c r="A31" s="13" t="s">
        <v>6</v>
      </c>
      <c r="B31" s="15">
        <v>35772.25999999998</v>
      </c>
    </row>
    <row r="32" spans="1:8" x14ac:dyDescent="0.35">
      <c r="A32" s="13" t="s">
        <v>31</v>
      </c>
      <c r="B32" s="15">
        <v>40226.930000000015</v>
      </c>
    </row>
    <row r="33" spans="1:3" x14ac:dyDescent="0.35">
      <c r="A33" s="13" t="s">
        <v>35</v>
      </c>
      <c r="B33" s="15">
        <v>118583.9</v>
      </c>
    </row>
    <row r="35" spans="1:3" x14ac:dyDescent="0.35">
      <c r="A35" s="17" t="s">
        <v>68</v>
      </c>
      <c r="B35" s="12"/>
    </row>
    <row r="36" spans="1:3" x14ac:dyDescent="0.35">
      <c r="A36" s="11" t="s">
        <v>34</v>
      </c>
      <c r="B36" t="s">
        <v>36</v>
      </c>
      <c r="C36" t="s">
        <v>42</v>
      </c>
    </row>
    <row r="37" spans="1:3" x14ac:dyDescent="0.35">
      <c r="A37" s="13" t="s">
        <v>66</v>
      </c>
      <c r="B37" s="14">
        <v>0.9480945558376811</v>
      </c>
      <c r="C37" s="14">
        <v>0.98499999999999999</v>
      </c>
    </row>
    <row r="38" spans="1:3" x14ac:dyDescent="0.35">
      <c r="A38" s="13" t="s">
        <v>67</v>
      </c>
      <c r="B38" s="14">
        <v>5.1905444162318813E-2</v>
      </c>
      <c r="C38" s="14">
        <v>1.4999999999999999E-2</v>
      </c>
    </row>
    <row r="39" spans="1:3" x14ac:dyDescent="0.35">
      <c r="A39" s="13" t="s">
        <v>35</v>
      </c>
      <c r="B39" s="14">
        <v>1</v>
      </c>
      <c r="C39" s="14">
        <v>1</v>
      </c>
    </row>
    <row r="41" spans="1:3" x14ac:dyDescent="0.35">
      <c r="A41" s="11" t="s">
        <v>34</v>
      </c>
      <c r="B41" t="s">
        <v>69</v>
      </c>
    </row>
    <row r="42" spans="1:3" x14ac:dyDescent="0.35">
      <c r="A42" s="13" t="s">
        <v>66</v>
      </c>
      <c r="B42" s="14">
        <v>0.95278190523361395</v>
      </c>
    </row>
    <row r="43" spans="1:3" x14ac:dyDescent="0.35">
      <c r="A43" s="13" t="s">
        <v>67</v>
      </c>
      <c r="B43" s="14">
        <v>4.7218094766385998E-2</v>
      </c>
      <c r="C43" s="14">
        <f>GETPIVOTDATA("Reward_Points",$A$41,"Is_Outliers","Outlier (Extreme Spend)")</f>
        <v>4.7218094766385998E-2</v>
      </c>
    </row>
    <row r="44" spans="1:3" x14ac:dyDescent="0.35">
      <c r="A44" s="13" t="s">
        <v>35</v>
      </c>
      <c r="B44" s="14">
        <v>1</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72E3-BD43-488B-B26A-711F2032C5E0}">
  <sheetPr>
    <tabColor rgb="FFFFFFFF"/>
    <pageSetUpPr fitToPage="1"/>
  </sheetPr>
  <dimension ref="A1"/>
  <sheetViews>
    <sheetView showGridLines="0" tabSelected="1" topLeftCell="A32" zoomScale="47" zoomScaleNormal="47" workbookViewId="0">
      <selection activeCell="AB63" sqref="AB63"/>
    </sheetView>
  </sheetViews>
  <sheetFormatPr defaultRowHeight="14.5" x14ac:dyDescent="0.35"/>
  <sheetData/>
  <pageMargins left="0.7" right="0.7" top="0.75" bottom="0.75" header="0.3" footer="0.3"/>
  <pageSetup paperSize="9" scale="46"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56E2-B343-4E26-9A2A-54F4F01982EB}">
  <dimension ref="A1"/>
  <sheetViews>
    <sheetView showGridLines="0" topLeftCell="A11" workbookViewId="0">
      <selection activeCell="V12" sqref="V12"/>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2D03BA-3CCF-4D86-BA05-098C9A629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 Analysis</vt:lpstr>
      <vt:lpstr>Dashboard</vt:lpstr>
      <vt:lpstr>Let's Analyze!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CHIDI</cp:lastModifiedBy>
  <cp:lastPrinted>2026-09-25T11:40:15Z</cp:lastPrinted>
  <dcterms:created xsi:type="dcterms:W3CDTF">2025-08-20T17:41:32Z</dcterms:created>
  <dcterms:modified xsi:type="dcterms:W3CDTF">2026-09-25T13:59:00Z</dcterms:modified>
</cp:coreProperties>
</file>